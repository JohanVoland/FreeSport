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filterPrivacy="1" codeName="ThisWorkbook" hidePivotFieldList="1"/>
  <xr:revisionPtr revIDLastSave="0" documentId="8_{17342718-579E-4B0F-9073-A59CD1110957}" xr6:coauthVersionLast="28" xr6:coauthVersionMax="28" xr10:uidLastSave="{00000000-0000-0000-0000-000000000000}"/>
  <bookViews>
    <workbookView xWindow="0" yWindow="465" windowWidth="28800" windowHeight="17535" xr2:uid="{00000000-000D-0000-FFFF-FFFF00000000}"/>
  </bookViews>
  <sheets>
    <sheet name="Journal" sheetId="1" r:id="rId1"/>
    <sheet name="Totaux" sheetId="4" r:id="rId2"/>
    <sheet name="Paramètres" sheetId="2" r:id="rId3"/>
  </sheets>
  <calcPr calcId="171027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4" i="1" l="1"/>
  <c r="B24" i="1"/>
  <c r="D23" i="1"/>
  <c r="B23" i="1"/>
  <c r="D22" i="1"/>
  <c r="B22" i="1"/>
  <c r="D21" i="1"/>
  <c r="B21" i="1"/>
  <c r="D20" i="1"/>
  <c r="B20" i="1"/>
  <c r="D19" i="1"/>
  <c r="B19" i="1"/>
  <c r="D18" i="1"/>
  <c r="B18" i="1"/>
  <c r="D17" i="1"/>
  <c r="B17" i="1"/>
  <c r="D16" i="1"/>
  <c r="B16" i="1"/>
  <c r="D15" i="1"/>
  <c r="B15" i="1"/>
  <c r="D14" i="1"/>
  <c r="D13" i="1"/>
  <c r="B14" i="1"/>
  <c r="B13" i="1"/>
  <c r="D11" i="1"/>
  <c r="D10" i="1"/>
  <c r="D12" i="1"/>
  <c r="B12" i="1"/>
  <c r="B11" i="1"/>
  <c r="D8" i="1"/>
  <c r="B8" i="1"/>
  <c r="B9" i="1"/>
  <c r="B10" i="1"/>
  <c r="D9" i="1"/>
  <c r="D7" i="1"/>
  <c r="B7" i="1"/>
  <c r="D6" i="1"/>
  <c r="B6" i="1"/>
  <c r="D5" i="1"/>
  <c r="B5" i="1"/>
  <c r="D4" i="1"/>
  <c r="B4" i="1"/>
  <c r="B3" i="1"/>
  <c r="D3" i="1"/>
  <c r="D2" i="1"/>
  <c r="B2" i="1"/>
</calcChain>
</file>

<file path=xl/sharedStrings.xml><?xml version="1.0" encoding="utf-8"?>
<sst xmlns="http://schemas.openxmlformats.org/spreadsheetml/2006/main" count="61" uniqueCount="31">
  <si>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</si>
  <si>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</si>
  <si>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</si>
  <si>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</si>
  <si>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</si>
  <si>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</si>
  <si>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</si>
  <si>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</si>
  <si>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</si>
  <si>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</si>
  <si>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</si>
  <si>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</si>
  <si>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</si>
  <si>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</si>
  <si>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</si>
  <si>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</si>
  <si>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</si>
  <si>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Adapter le template en format MVC</t>
  </si>
  <si>
    <t>Distribution des tâches et planificaion</t>
  </si>
  <si>
    <t>Finir d'adapter le template en format MVC</t>
  </si>
  <si>
    <t>Maquettes</t>
  </si>
  <si>
    <t>Cahier des charges</t>
  </si>
  <si>
    <t>Finir les maquettes</t>
  </si>
  <si>
    <t>Lundi de Pentecôte</t>
  </si>
  <si>
    <t>Modifier les maquettes</t>
  </si>
  <si>
    <t>Commencer à mettre en place le site web (gabarit, index, accueil)</t>
  </si>
  <si>
    <t>Login/logout , profil , début du panier</t>
  </si>
  <si>
    <t>Avancer panier</t>
  </si>
  <si>
    <t>Travailler à la maison</t>
  </si>
  <si>
    <t>Ajouter articles au panier, filtre articles</t>
  </si>
  <si>
    <t>rendre le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</si>
</sst>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63.489257291665" createdVersion="4" refreshedVersion="4" minRefreshableVersion="3" recordCount="33" xr:uid="{00000000-000A-0000-FFFF-FFFF00000000}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J24"/>
  <sheetViews>
    <sheetView tabSelected="1" topLeftCell="A3" workbookViewId="0">
      <selection activeCell="F24" sqref="F24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 t="shared" ref="D2:D14" si="1"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2">WEEKNUM(A3)</f>
        <v>18</v>
      </c>
      <c r="C3" s="22">
        <v>55</v>
      </c>
      <c r="D3" s="25">
        <f t="shared" si="1"/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3">WEEKNUM(A4)</f>
        <v>18</v>
      </c>
      <c r="C4" s="22">
        <v>45</v>
      </c>
      <c r="D4" s="25">
        <f t="shared" si="1"/>
        <v>0.75</v>
      </c>
      <c r="E4" s="9" t="s">
        <v>7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:B6" si="4">WEEKNUM(A5)</f>
        <v>18</v>
      </c>
      <c r="C5" s="22">
        <v>90</v>
      </c>
      <c r="D5" s="25">
        <f t="shared" si="1"/>
        <v>1.5</v>
      </c>
      <c r="E5" s="9" t="s">
        <v>7</v>
      </c>
      <c r="F5" s="10" t="s">
        <v>19</v>
      </c>
      <c r="G5" s="10"/>
      <c r="J5" s="11"/>
    </row>
    <row r="6" spans="1:10" x14ac:dyDescent="0.25">
      <c r="A6" s="17">
        <v>43220</v>
      </c>
      <c r="B6" s="14">
        <f t="shared" si="4"/>
        <v>18</v>
      </c>
      <c r="C6" s="22">
        <v>30</v>
      </c>
      <c r="D6" s="25">
        <f t="shared" si="1"/>
        <v>0.5</v>
      </c>
      <c r="E6" s="9" t="s">
        <v>9</v>
      </c>
      <c r="F6" s="10" t="s">
        <v>18</v>
      </c>
      <c r="G6" s="10"/>
      <c r="J6" s="11"/>
    </row>
    <row r="7" spans="1:10" x14ac:dyDescent="0.25">
      <c r="A7" s="17">
        <v>43223</v>
      </c>
      <c r="B7" s="14">
        <f t="shared" ref="B7:B10" si="5">WEEKNUM(A7)</f>
        <v>18</v>
      </c>
      <c r="C7" s="22">
        <v>90</v>
      </c>
      <c r="D7" s="25">
        <f t="shared" si="1"/>
        <v>1.5</v>
      </c>
      <c r="E7" s="9" t="s">
        <v>10</v>
      </c>
      <c r="F7" s="9" t="s">
        <v>10</v>
      </c>
      <c r="G7" s="10"/>
      <c r="J7" s="11"/>
    </row>
    <row r="8" spans="1:10" x14ac:dyDescent="0.25">
      <c r="A8" s="17">
        <v>43227</v>
      </c>
      <c r="B8" s="14">
        <f t="shared" si="5"/>
        <v>19</v>
      </c>
      <c r="C8" s="22">
        <v>45</v>
      </c>
      <c r="D8" s="25">
        <f t="shared" si="1"/>
        <v>0.75</v>
      </c>
      <c r="E8" s="9" t="s">
        <v>9</v>
      </c>
      <c r="F8" s="10" t="s">
        <v>21</v>
      </c>
      <c r="G8" s="10"/>
      <c r="J8" s="11"/>
    </row>
    <row r="9" spans="1:10" x14ac:dyDescent="0.25">
      <c r="A9" s="17">
        <v>43227</v>
      </c>
      <c r="B9" s="14">
        <f t="shared" si="5"/>
        <v>19</v>
      </c>
      <c r="C9" s="22">
        <v>90</v>
      </c>
      <c r="D9" s="25">
        <f t="shared" si="1"/>
        <v>1.5</v>
      </c>
      <c r="E9" s="9" t="s">
        <v>9</v>
      </c>
      <c r="F9" s="10" t="s">
        <v>20</v>
      </c>
      <c r="G9" s="10"/>
      <c r="J9" s="11"/>
    </row>
    <row r="10" spans="1:10" x14ac:dyDescent="0.25">
      <c r="A10" s="17">
        <v>43230</v>
      </c>
      <c r="B10" s="14">
        <f t="shared" si="5"/>
        <v>19</v>
      </c>
      <c r="C10" s="22">
        <v>90</v>
      </c>
      <c r="D10" s="25">
        <f t="shared" si="1"/>
        <v>1.5</v>
      </c>
      <c r="E10" s="9" t="s">
        <v>10</v>
      </c>
      <c r="F10" s="10"/>
      <c r="G10" s="10"/>
      <c r="J10" s="11"/>
    </row>
    <row r="11" spans="1:10" x14ac:dyDescent="0.25">
      <c r="A11" s="17">
        <v>43234</v>
      </c>
      <c r="B11" s="14">
        <f t="shared" ref="B11:B14" si="6">WEEKNUM(A11)</f>
        <v>20</v>
      </c>
      <c r="C11" s="22">
        <v>225</v>
      </c>
      <c r="D11" s="25">
        <f t="shared" si="1"/>
        <v>3.75</v>
      </c>
      <c r="E11" s="9" t="s">
        <v>10</v>
      </c>
      <c r="F11" s="10"/>
      <c r="G11" s="10"/>
      <c r="J11" s="11"/>
    </row>
    <row r="12" spans="1:10" x14ac:dyDescent="0.25">
      <c r="A12" s="17">
        <v>43237</v>
      </c>
      <c r="B12" s="14">
        <f t="shared" si="6"/>
        <v>20</v>
      </c>
      <c r="C12" s="22">
        <v>90</v>
      </c>
      <c r="D12" s="25">
        <f t="shared" si="1"/>
        <v>1.5</v>
      </c>
      <c r="E12" s="9" t="s">
        <v>9</v>
      </c>
      <c r="F12" s="10" t="s">
        <v>24</v>
      </c>
      <c r="G12" s="10"/>
      <c r="J12" s="11"/>
    </row>
    <row r="13" spans="1:10" x14ac:dyDescent="0.25">
      <c r="A13" s="17">
        <v>43241</v>
      </c>
      <c r="B13" s="14">
        <f t="shared" si="6"/>
        <v>21</v>
      </c>
      <c r="C13" s="22">
        <v>0</v>
      </c>
      <c r="D13" s="25">
        <f t="shared" si="1"/>
        <v>0</v>
      </c>
      <c r="E13" s="9"/>
      <c r="F13" s="10" t="s">
        <v>23</v>
      </c>
      <c r="G13" s="10"/>
      <c r="J13" s="11"/>
    </row>
    <row r="14" spans="1:10" x14ac:dyDescent="0.25">
      <c r="A14" s="17">
        <v>43244</v>
      </c>
      <c r="B14" s="14">
        <f t="shared" si="6"/>
        <v>21</v>
      </c>
      <c r="C14" s="22">
        <v>45</v>
      </c>
      <c r="D14" s="25">
        <f t="shared" si="1"/>
        <v>0.75</v>
      </c>
      <c r="E14" s="9" t="s">
        <v>9</v>
      </c>
      <c r="F14" s="10" t="s">
        <v>22</v>
      </c>
      <c r="G14" s="10"/>
      <c r="J14" s="11"/>
    </row>
    <row r="15" spans="1:10" x14ac:dyDescent="0.25">
      <c r="A15" s="17">
        <v>43244</v>
      </c>
      <c r="B15" s="14">
        <f t="shared" ref="B15" si="7">WEEKNUM(A15)</f>
        <v>21</v>
      </c>
      <c r="C15" s="22">
        <v>45</v>
      </c>
      <c r="D15" s="25">
        <f t="shared" ref="D15" si="8">C15/60</f>
        <v>0.75</v>
      </c>
      <c r="E15" s="9" t="s">
        <v>7</v>
      </c>
      <c r="F15" s="10" t="s">
        <v>25</v>
      </c>
      <c r="G15" s="10"/>
      <c r="J15" s="11"/>
    </row>
    <row r="16" spans="1:10" x14ac:dyDescent="0.25">
      <c r="A16" s="17">
        <v>43248</v>
      </c>
      <c r="B16" s="14">
        <f t="shared" ref="B16:B20" si="9">WEEKNUM(A16)</f>
        <v>22</v>
      </c>
      <c r="C16" s="22">
        <v>225</v>
      </c>
      <c r="D16" s="25">
        <f t="shared" ref="D16:D20" si="10">C16/60</f>
        <v>3.75</v>
      </c>
      <c r="E16" s="9" t="s">
        <v>10</v>
      </c>
      <c r="F16" s="10"/>
      <c r="G16" s="10"/>
      <c r="J16" s="11"/>
    </row>
    <row r="17" spans="1:10" x14ac:dyDescent="0.25">
      <c r="A17" s="17">
        <v>43251</v>
      </c>
      <c r="B17" s="14">
        <f t="shared" si="9"/>
        <v>22</v>
      </c>
      <c r="C17" s="22">
        <v>90</v>
      </c>
      <c r="D17" s="25">
        <f t="shared" si="10"/>
        <v>1.5</v>
      </c>
      <c r="E17" s="9" t="s">
        <v>10</v>
      </c>
      <c r="F17" s="10"/>
      <c r="G17" s="10"/>
      <c r="J17" s="11"/>
    </row>
    <row r="18" spans="1:10" x14ac:dyDescent="0.25">
      <c r="A18" s="17">
        <v>43255</v>
      </c>
      <c r="B18" s="14">
        <f t="shared" si="9"/>
        <v>23</v>
      </c>
      <c r="C18" s="22">
        <v>225</v>
      </c>
      <c r="D18" s="25">
        <f t="shared" si="10"/>
        <v>3.75</v>
      </c>
      <c r="E18" s="9" t="s">
        <v>7</v>
      </c>
      <c r="F18" s="10" t="s">
        <v>26</v>
      </c>
      <c r="G18" s="10"/>
      <c r="J18" s="11"/>
    </row>
    <row r="19" spans="1:10" x14ac:dyDescent="0.25">
      <c r="A19" s="17">
        <v>43258</v>
      </c>
      <c r="B19" s="14">
        <f t="shared" si="9"/>
        <v>23</v>
      </c>
      <c r="C19" s="22">
        <v>90</v>
      </c>
      <c r="D19" s="25">
        <f t="shared" si="10"/>
        <v>1.5</v>
      </c>
      <c r="E19" s="9" t="s">
        <v>7</v>
      </c>
      <c r="F19" s="10" t="s">
        <v>27</v>
      </c>
      <c r="G19" s="10"/>
      <c r="J19" s="11"/>
    </row>
    <row r="20" spans="1:10" x14ac:dyDescent="0.25">
      <c r="A20" s="17">
        <v>43262</v>
      </c>
      <c r="B20" s="14">
        <f t="shared" si="9"/>
        <v>24</v>
      </c>
      <c r="C20" s="22">
        <v>225</v>
      </c>
      <c r="D20" s="25">
        <f t="shared" si="10"/>
        <v>3.75</v>
      </c>
      <c r="E20" s="9" t="s">
        <v>7</v>
      </c>
      <c r="F20" s="10" t="s">
        <v>29</v>
      </c>
      <c r="G20" s="10"/>
      <c r="J20" s="11"/>
    </row>
    <row r="21" spans="1:10" x14ac:dyDescent="0.25">
      <c r="A21" s="17">
        <v>43265</v>
      </c>
      <c r="B21" s="14">
        <f t="shared" ref="B21:B24" si="11">WEEKNUM(A21)</f>
        <v>24</v>
      </c>
      <c r="C21" s="22">
        <v>90</v>
      </c>
      <c r="D21" s="25">
        <f t="shared" ref="D21:D24" si="12">C21/60</f>
        <v>1.5</v>
      </c>
      <c r="E21" s="9" t="s">
        <v>7</v>
      </c>
      <c r="F21" s="10" t="s">
        <v>27</v>
      </c>
      <c r="G21" s="10"/>
      <c r="J21" s="11"/>
    </row>
    <row r="22" spans="1:10" x14ac:dyDescent="0.25">
      <c r="A22" s="17">
        <v>43269</v>
      </c>
      <c r="B22" s="14">
        <f t="shared" si="11"/>
        <v>25</v>
      </c>
      <c r="C22" s="22">
        <v>225</v>
      </c>
      <c r="D22" s="25">
        <f t="shared" si="12"/>
        <v>3.75</v>
      </c>
      <c r="E22" s="9" t="s">
        <v>10</v>
      </c>
      <c r="F22" s="10"/>
      <c r="G22" s="10" t="s">
        <v>28</v>
      </c>
      <c r="J22" s="11"/>
    </row>
    <row r="23" spans="1:10" x14ac:dyDescent="0.25">
      <c r="A23" s="17">
        <v>43272</v>
      </c>
      <c r="B23" s="14">
        <f t="shared" si="11"/>
        <v>25</v>
      </c>
      <c r="C23" s="22">
        <v>90</v>
      </c>
      <c r="D23" s="25">
        <f t="shared" si="12"/>
        <v>1.5</v>
      </c>
      <c r="E23" s="9" t="s">
        <v>10</v>
      </c>
      <c r="F23" s="10"/>
      <c r="G23" s="10" t="s">
        <v>28</v>
      </c>
      <c r="J23" s="11"/>
    </row>
    <row r="24" spans="1:10" x14ac:dyDescent="0.25">
      <c r="A24" s="17">
        <v>43273</v>
      </c>
      <c r="B24" s="14">
        <f t="shared" si="11"/>
        <v>25</v>
      </c>
      <c r="C24" s="22">
        <v>225</v>
      </c>
      <c r="D24" s="25">
        <f t="shared" si="12"/>
        <v>3.75</v>
      </c>
      <c r="E24" s="9" t="s">
        <v>7</v>
      </c>
      <c r="F24" s="10" t="s">
        <v>30</v>
      </c>
      <c r="G24" s="10"/>
      <c r="J24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ignoredErrors>
    <ignoredError sqref="D2:D8 D9:D2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E2:E24 F7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2018-06-22T14:53:00Z</dcterms:modified>
</cp:coreProperties>
</file>