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/>
  <c r="D9" i="1"/>
  <c r="B8" i="1"/>
  <c r="D8" i="1"/>
  <c r="B7" i="1"/>
  <c r="D7" i="1"/>
  <c r="B6" i="1"/>
  <c r="D6" i="1"/>
  <c r="B5" i="1"/>
  <c r="D5" i="1"/>
  <c r="B4" i="1"/>
  <c r="D4" i="1"/>
  <c r="B3" i="1"/>
  <c r="D3" i="1"/>
  <c r="D2" i="1"/>
  <c r="B2" i="1"/>
</calcChain>
</file>

<file path=xl/sharedStrings.xml><?xml version="1.0" encoding="utf-8"?>
<sst xmlns="http://schemas.openxmlformats.org/spreadsheetml/2006/main" count="37" uniqueCount="24">
  <si>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</si>
  <si>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</si>
  <si>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</si>
  <si>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</si>
  <si>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</si>
  <si>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</si>
  <si>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</si>
  <si>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</si>
  <si>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</si>
  <si>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</si>
  <si>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</si>
  <si>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</si>
  <si>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</si>
  <si>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</si>
  <si>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[min]</t>
  </si>
  <si>
    <t>Présentation du module (objectifs, groupes, …)</t>
  </si>
  <si>
    <t>Sélection d'un template et création d'un répertoire sur GitHub</t>
  </si>
  <si>
    <t>Création du dossier de projet et d'une mini liste de choses à faire sur Trello</t>
  </si>
  <si>
    <t>Début  de création du dossier de projet Uses Cases, scénarios et de diverses petites actions</t>
  </si>
  <si>
    <t>Création des Uses Cases, début de création des scénarios et du MCD de la BDD</t>
  </si>
  <si>
    <t>Présentation des stages</t>
  </si>
  <si>
    <t>Création du MCD, MLD et la base de données</t>
  </si>
  <si>
    <t>Finition de la BDD et mise au point des MCD et MLD</t>
  </si>
  <si>
    <t>Il reste le MLD à faire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</si>
</sst>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0C]dddd\,\ d\.\ mmmm\ yyyy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165" fontId="0" fillId="0" borderId="1" xfId="0" applyNumberFormat="1" applyBorder="1" applyAlignment="1" applyProtection="1">
      <alignment horizontal="center" vertical="center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-%20Joh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3.489257291665" createdVersion="4" refreshedVersion="4" minRefreshableVersion="3" recordCount="33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9"/>
  <sheetViews>
    <sheetView tabSelected="1" workbookViewId="0">
      <selection activeCell="G9" sqref="G9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3" customWidth="1"/>
    <col min="4" max="4" width="13.7109375" style="20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1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43220</v>
      </c>
      <c r="B2" s="14">
        <f t="shared" ref="B2" si="0">WEEKNUM(A2)</f>
        <v>18</v>
      </c>
      <c r="C2" s="22">
        <v>30</v>
      </c>
      <c r="D2" s="25">
        <f t="shared" ref="D2:D8" si="1">C2/60</f>
        <v>0.5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43220</v>
      </c>
      <c r="B3" s="14">
        <f t="shared" ref="B3" si="2">WEEKNUM(A3)</f>
        <v>18</v>
      </c>
      <c r="C3" s="22">
        <v>55</v>
      </c>
      <c r="D3" s="25">
        <f t="shared" si="1"/>
        <v>0.91666666666666663</v>
      </c>
      <c r="E3" s="9" t="s">
        <v>6</v>
      </c>
      <c r="F3" s="10" t="s">
        <v>16</v>
      </c>
      <c r="G3" s="10"/>
      <c r="J3" s="11"/>
    </row>
    <row r="4" spans="1:10" x14ac:dyDescent="0.25">
      <c r="A4" s="17">
        <v>43220</v>
      </c>
      <c r="B4" s="14">
        <f t="shared" ref="B4" si="3">WEEKNUM(A4)</f>
        <v>18</v>
      </c>
      <c r="C4" s="22">
        <v>45</v>
      </c>
      <c r="D4" s="25">
        <f t="shared" si="1"/>
        <v>0.75</v>
      </c>
      <c r="E4" s="9" t="s">
        <v>6</v>
      </c>
      <c r="F4" s="10" t="s">
        <v>17</v>
      </c>
      <c r="G4" s="10"/>
      <c r="J4" s="11"/>
    </row>
    <row r="5" spans="1:10" x14ac:dyDescent="0.25">
      <c r="A5" s="17">
        <v>43220</v>
      </c>
      <c r="B5" s="14">
        <f t="shared" ref="B5" si="4">WEEKNUM(A5)</f>
        <v>18</v>
      </c>
      <c r="C5" s="22">
        <v>45</v>
      </c>
      <c r="D5" s="25">
        <f t="shared" si="1"/>
        <v>0.75</v>
      </c>
      <c r="E5" s="9" t="s">
        <v>6</v>
      </c>
      <c r="F5" s="10" t="s">
        <v>18</v>
      </c>
      <c r="G5" s="10"/>
      <c r="J5" s="11"/>
    </row>
    <row r="6" spans="1:10" x14ac:dyDescent="0.25">
      <c r="A6" s="17">
        <v>43223</v>
      </c>
      <c r="B6" s="14">
        <f t="shared" ref="B6" si="5">WEEKNUM(A6)</f>
        <v>18</v>
      </c>
      <c r="C6" s="22">
        <v>30</v>
      </c>
      <c r="D6" s="25">
        <f t="shared" si="1"/>
        <v>0.5</v>
      </c>
      <c r="E6" s="9" t="s">
        <v>10</v>
      </c>
      <c r="F6" s="10" t="s">
        <v>20</v>
      </c>
      <c r="G6" s="10"/>
      <c r="J6" s="11"/>
    </row>
    <row r="7" spans="1:10" x14ac:dyDescent="0.25">
      <c r="A7" s="17">
        <v>43223</v>
      </c>
      <c r="B7" s="14">
        <f t="shared" ref="B7" si="6">WEEKNUM(A7)</f>
        <v>18</v>
      </c>
      <c r="C7" s="22">
        <v>60</v>
      </c>
      <c r="D7" s="25">
        <f t="shared" si="1"/>
        <v>1</v>
      </c>
      <c r="E7" s="9" t="s">
        <v>9</v>
      </c>
      <c r="F7" s="10" t="s">
        <v>19</v>
      </c>
      <c r="G7" s="10"/>
      <c r="J7" s="11"/>
    </row>
    <row r="8" spans="1:10" x14ac:dyDescent="0.25">
      <c r="A8" s="17">
        <v>43227</v>
      </c>
      <c r="B8" s="14">
        <f t="shared" ref="B8" si="7">WEEKNUM(A8)</f>
        <v>19</v>
      </c>
      <c r="C8" s="22">
        <v>135</v>
      </c>
      <c r="D8" s="25">
        <f t="shared" si="1"/>
        <v>2.25</v>
      </c>
      <c r="E8" s="9" t="s">
        <v>9</v>
      </c>
      <c r="F8" s="10" t="s">
        <v>21</v>
      </c>
      <c r="G8" s="10"/>
      <c r="J8" s="11"/>
    </row>
    <row r="9" spans="1:10" x14ac:dyDescent="0.25">
      <c r="A9" s="17">
        <v>43227</v>
      </c>
      <c r="B9" s="14">
        <f t="shared" ref="B9" si="8">WEEKNUM(A9)</f>
        <v>19</v>
      </c>
      <c r="C9" s="22">
        <v>120</v>
      </c>
      <c r="D9" s="25">
        <f t="shared" ref="D9" si="9">C9/60</f>
        <v>2</v>
      </c>
      <c r="E9" s="9" t="s">
        <v>9</v>
      </c>
      <c r="F9" s="10" t="s">
        <v>22</v>
      </c>
      <c r="G9" s="10" t="s">
        <v>23</v>
      </c>
      <c r="J9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7"/>
  <sheetViews>
    <sheetView workbookViewId="0">
      <selection activeCell="B10" sqref="B10"/>
    </sheetView>
  </sheetViews>
  <sheetFormatPr baseColWidth="10" defaultRowHeight="15" x14ac:dyDescent="0.25"/>
  <cols>
    <col min="1" max="1" width="17.140625" bestFit="1" customWidth="1"/>
    <col min="2" max="2" width="13" bestFit="1" customWidth="1"/>
    <col min="3" max="3" width="13.28515625" bestFit="1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4">
        <v>0.5</v>
      </c>
      <c r="C5" s="24"/>
      <c r="D5" s="24">
        <v>2.5</v>
      </c>
      <c r="E5" s="24"/>
      <c r="F5" s="24">
        <v>3</v>
      </c>
    </row>
    <row r="6" spans="1:6" x14ac:dyDescent="0.25">
      <c r="A6" s="4">
        <v>43133</v>
      </c>
      <c r="B6" s="24"/>
      <c r="C6" s="24"/>
      <c r="D6" s="24">
        <v>1.25</v>
      </c>
      <c r="E6" s="24"/>
      <c r="F6" s="24">
        <v>1.25</v>
      </c>
    </row>
    <row r="7" spans="1:6" x14ac:dyDescent="0.25">
      <c r="A7" s="4">
        <v>43137</v>
      </c>
      <c r="B7" s="24"/>
      <c r="C7" s="24"/>
      <c r="D7" s="24">
        <v>0.75</v>
      </c>
      <c r="E7" s="24">
        <v>1.5</v>
      </c>
      <c r="F7" s="24">
        <v>2.25</v>
      </c>
    </row>
    <row r="8" spans="1:6" x14ac:dyDescent="0.25">
      <c r="A8" s="4">
        <v>43139</v>
      </c>
      <c r="B8" s="24"/>
      <c r="C8" s="24"/>
      <c r="D8" s="24">
        <v>6.5</v>
      </c>
      <c r="E8" s="24"/>
      <c r="F8" s="24">
        <v>6.5</v>
      </c>
    </row>
    <row r="9" spans="1:6" x14ac:dyDescent="0.25">
      <c r="A9" s="4">
        <v>43140</v>
      </c>
      <c r="B9" s="24"/>
      <c r="C9" s="24"/>
      <c r="D9" s="24">
        <v>1.5</v>
      </c>
      <c r="E9" s="24"/>
      <c r="F9" s="24">
        <v>1.5</v>
      </c>
    </row>
    <row r="10" spans="1:6" x14ac:dyDescent="0.25">
      <c r="A10" s="4">
        <v>43144</v>
      </c>
      <c r="B10" s="24"/>
      <c r="C10" s="24"/>
      <c r="D10" s="24"/>
      <c r="E10" s="24">
        <v>1.5</v>
      </c>
      <c r="F10" s="24">
        <v>1.5</v>
      </c>
    </row>
    <row r="11" spans="1:6" x14ac:dyDescent="0.25">
      <c r="A11" s="4">
        <v>43143</v>
      </c>
      <c r="B11" s="24"/>
      <c r="C11" s="24"/>
      <c r="D11" s="24">
        <v>2.25</v>
      </c>
      <c r="E11" s="24"/>
      <c r="F11" s="24">
        <v>2.25</v>
      </c>
    </row>
    <row r="12" spans="1:6" x14ac:dyDescent="0.25">
      <c r="A12" s="4">
        <v>43146</v>
      </c>
      <c r="B12" s="24"/>
      <c r="C12" s="24"/>
      <c r="D12" s="24">
        <v>6</v>
      </c>
      <c r="E12" s="24"/>
      <c r="F12" s="24">
        <v>6</v>
      </c>
    </row>
    <row r="13" spans="1:6" x14ac:dyDescent="0.25">
      <c r="A13" s="4">
        <v>43147</v>
      </c>
      <c r="B13" s="24"/>
      <c r="C13" s="24">
        <v>2.25</v>
      </c>
      <c r="D13" s="24"/>
      <c r="E13" s="24"/>
      <c r="F13" s="24">
        <v>2.25</v>
      </c>
    </row>
    <row r="14" spans="1:6" x14ac:dyDescent="0.25">
      <c r="A14" s="4">
        <v>43158</v>
      </c>
      <c r="B14" s="24"/>
      <c r="C14" s="24"/>
      <c r="D14" s="24">
        <v>2.25</v>
      </c>
      <c r="E14" s="24"/>
      <c r="F14" s="24">
        <v>2.25</v>
      </c>
    </row>
    <row r="15" spans="1:6" x14ac:dyDescent="0.25">
      <c r="A15" s="4">
        <v>43160</v>
      </c>
      <c r="B15" s="24"/>
      <c r="C15" s="24">
        <v>3</v>
      </c>
      <c r="D15" s="24">
        <v>1.5</v>
      </c>
      <c r="E15" s="24">
        <v>3</v>
      </c>
      <c r="F15" s="24">
        <v>7.5</v>
      </c>
    </row>
    <row r="16" spans="1:6" x14ac:dyDescent="0.25">
      <c r="A16" s="4">
        <v>43161</v>
      </c>
      <c r="B16" s="24"/>
      <c r="C16" s="24">
        <v>0.75</v>
      </c>
      <c r="D16" s="24">
        <v>1.25</v>
      </c>
      <c r="E16" s="24"/>
      <c r="F16" s="24">
        <v>2</v>
      </c>
    </row>
    <row r="17" spans="1:6" x14ac:dyDescent="0.25">
      <c r="A17" s="4" t="s">
        <v>11</v>
      </c>
      <c r="B17" s="24">
        <v>0.5</v>
      </c>
      <c r="C17" s="24">
        <v>6</v>
      </c>
      <c r="D17" s="24">
        <v>25.75</v>
      </c>
      <c r="E17" s="24">
        <v>6</v>
      </c>
      <c r="F17" s="24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2018-05-07T13:03:10Z</dcterms:modified>
</cp:coreProperties>
</file>