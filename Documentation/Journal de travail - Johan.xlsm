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226" codeName="{EC734049-C954-9101-EBF6-4418645C62DC}"/>
  <workbookPr filterPrivacy="1" codeName="ThisWorkbook" hidePivotFieldList="1"/>
  <xr:revisionPtr revIDLastSave="0" documentId="13_ncr:1_{55E3A9A5-8DF4-498F-9A59-5909C1124098}" xr6:coauthVersionLast="32" xr6:coauthVersionMax="32" xr10:uidLastSave="{00000000-0000-0000-0000-000000000000}"/>
  <bookViews>
    <workbookView xWindow="0" yWindow="465" windowWidth="28800" windowHeight="17535" xr2:uid="{00000000-000D-0000-FFFF-FFFF00000000}"/>
  </bookViews>
  <sheets>
    <sheet name="Journal" sheetId="1" r:id="rId1"/>
    <sheet name="Totaux" sheetId="4" r:id="rId2"/>
    <sheet name="Paramètres" sheetId="2" r:id="rId3"/>
  </sheets>
  <calcPr calcId="179017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0" i="1" l="1"/>
  <c r="D10" i="1"/>
  <c r="B9" i="1"/>
  <c r="D9" i="1"/>
  <c r="B8" i="1"/>
  <c r="D8" i="1"/>
  <c r="B7" i="1"/>
  <c r="D7" i="1"/>
  <c r="B6" i="1"/>
  <c r="D6" i="1"/>
  <c r="B5" i="1"/>
  <c r="D5" i="1"/>
  <c r="B4" i="1"/>
  <c r="D4" i="1"/>
  <c r="B3" i="1"/>
  <c r="D3" i="1"/>
  <c r="D2" i="1"/>
  <c r="B2" i="1"/>
</calcChain>
</file>

<file path=xl/sharedStrings.xml><?xml version="1.0" encoding="utf-8"?>
<sst xmlns="http://schemas.openxmlformats.org/spreadsheetml/2006/main" count="38" uniqueCount="24">
  <si>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</si>
  <si>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</si>
  <si>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</si>
  <si>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</si>
  <si>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</si>
  <si>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</si>
  <si>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</si>
  <si>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</si>
  <si>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</si>
  <si>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</si>
  <si>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</si>
  <si>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</si>
  <si>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</si>
  <si>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</si>
  <si>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Temps [min]</t>
  </si>
  <si>
    <t>Présentation du module (objectifs, groupes, …)</t>
  </si>
  <si>
    <t>Sélection d'un template et création d'un répertoire sur GitHub</t>
  </si>
  <si>
    <t>Création du dossier de projet et d'une mini liste de choses à faire sur Trello</t>
  </si>
  <si>
    <t>Début  de création du dossier de projet Uses Cases, scénarios et de diverses petites actions</t>
  </si>
  <si>
    <t>Création des Uses Cases, début de création des scénarios et du MCD de la BDD</t>
  </si>
  <si>
    <t>Présentation des stages</t>
  </si>
  <si>
    <t>Création du MCD, MLD et la base de données</t>
  </si>
  <si>
    <t>Finition de la BDD et mise au point des MCD et MLD</t>
  </si>
  <si>
    <t>Mise à jour du dossier de projet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</si>
</sst>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100C]dddd\,\ d\.\ mmmm\ yyyy;@"/>
    <numFmt numFmtId="165" formatCode="0.0"/>
  </numFmts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4" fontId="1" fillId="2" borderId="1" xfId="0" applyNumberFormat="1" applyFont="1" applyFill="1" applyBorder="1" applyAlignment="1" applyProtection="1">
      <alignment horizontal="center" vertical="center"/>
      <protection locked="0"/>
    </xf>
    <xf numFmtId="164" fontId="0" fillId="0" borderId="1" xfId="0" applyNumberFormat="1" applyBorder="1" applyAlignment="1" applyProtection="1">
      <alignment horizontal="center" vertical="center"/>
      <protection locked="0"/>
    </xf>
    <xf numFmtId="164" fontId="0" fillId="0" borderId="0" xfId="0" applyNumberFormat="1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1" fontId="1" fillId="2" borderId="1" xfId="0" applyNumberFormat="1" applyFont="1" applyFill="1" applyBorder="1" applyAlignment="1" applyProtection="1">
      <alignment horizontal="center" vertical="center"/>
      <protection locked="0"/>
    </xf>
    <xf numFmtId="1" fontId="0" fillId="0" borderId="1" xfId="0" applyNumberForma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2" fontId="0" fillId="0" borderId="0" xfId="0" applyNumberFormat="1"/>
    <xf numFmtId="165" fontId="0" fillId="0" borderId="1" xfId="0" applyNumberFormat="1" applyBorder="1" applyAlignment="1" applyProtection="1">
      <alignment horizontal="center" vertical="center"/>
      <protection locked="0"/>
    </xf>
  </cellXfs>
  <cellStyles count="3">
    <cellStyle name="Lien hypertexte" xfId="1" builtinId="8" hidden="1"/>
    <cellStyle name="Lien hypertexte visité" xfId="2" builtinId="9" hidden="1"/>
    <cellStyle name="Normal" xfId="0" builtinId="0"/>
  </cellStyles>
  <dxfs count="1"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0</xdr:row>
          <xdr:rowOff>28575</xdr:rowOff>
        </xdr:from>
        <xdr:to>
          <xdr:col>5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Journal%20de%20travail%20-%20Johan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eur" refreshedDate="43163.489257291665" createdVersion="4" refreshedVersion="4" minRefreshableVersion="3" recordCount="33" xr:uid="{00000000-000A-0000-FFFF-FFFF00000000}">
  <cacheSource type="worksheet">
    <worksheetSource ref="A1:E2" sheet="Journal" r:id="rId2"/>
  </cacheSource>
  <cacheFields count="5">
    <cacheField name="Jour" numFmtId="164">
      <sharedItems containsSemiMixedTypes="0" containsNonDate="0" containsDate="1" containsString="0" minDate="2018-01-01T00:00:00" maxDate="2018-03-03T00:00:00" count="13">
        <d v="2018-02-01T00:00:00"/>
        <d v="2018-02-02T00:00:00"/>
        <d v="2018-02-06T00:00:00"/>
        <d v="2018-02-08T00:00:00"/>
        <d v="2018-02-09T00:00:00"/>
        <d v="2018-02-12T00:00:00"/>
        <d v="2018-02-13T00:00:00"/>
        <d v="2018-02-15T00:00:00"/>
        <d v="2018-02-16T00:00:00"/>
        <d v="2018-02-27T00:00:00"/>
        <d v="2018-03-01T00:00:00"/>
        <d v="2018-03-02T00:00:00"/>
        <d v="2018-01-01T00:00:00" u="1"/>
      </sharedItems>
    </cacheField>
    <cacheField name="Semaine" numFmtId="1">
      <sharedItems containsSemiMixedTypes="0" containsString="0" containsNumber="1" containsInteger="1" minValue="5" maxValue="9"/>
    </cacheField>
    <cacheField name="Temps [1/4h]" numFmtId="1">
      <sharedItems containsSemiMixedTypes="0" containsString="0" containsNumber="1" containsInteger="1" minValue="0" maxValue="15"/>
    </cacheField>
    <cacheField name="Temps [h]" numFmtId="2">
      <sharedItems containsSemiMixedTypes="0" containsString="0" containsNumber="1" minValue="0" maxValue="3.75"/>
    </cacheField>
    <cacheField name="Type" numFmtId="0">
      <sharedItems count="5">
        <s v="Analyse"/>
        <s v="Documentation"/>
        <s v="Absence"/>
        <s v="Implémentation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3">
  <r>
    <x v="0"/>
    <n v="5"/>
    <n v="0"/>
    <n v="0"/>
    <x v="0"/>
  </r>
  <r>
    <x v="0"/>
    <n v="5"/>
    <n v="1"/>
    <n v="0.25"/>
    <x v="1"/>
  </r>
  <r>
    <x v="0"/>
    <n v="5"/>
    <n v="8"/>
    <n v="2"/>
    <x v="0"/>
  </r>
  <r>
    <x v="0"/>
    <n v="5"/>
    <n v="1"/>
    <n v="0.25"/>
    <x v="1"/>
  </r>
  <r>
    <x v="0"/>
    <n v="5"/>
    <n v="1"/>
    <n v="0.25"/>
    <x v="0"/>
  </r>
  <r>
    <x v="0"/>
    <n v="5"/>
    <n v="1"/>
    <n v="0.25"/>
    <x v="0"/>
  </r>
  <r>
    <x v="1"/>
    <n v="5"/>
    <n v="2"/>
    <n v="0.5"/>
    <x v="0"/>
  </r>
  <r>
    <x v="1"/>
    <n v="5"/>
    <n v="3"/>
    <n v="0.75"/>
    <x v="0"/>
  </r>
  <r>
    <x v="2"/>
    <n v="6"/>
    <n v="1"/>
    <n v="0.25"/>
    <x v="0"/>
  </r>
  <r>
    <x v="2"/>
    <n v="6"/>
    <n v="1"/>
    <n v="0.25"/>
    <x v="0"/>
  </r>
  <r>
    <x v="2"/>
    <n v="6"/>
    <n v="1"/>
    <n v="0.25"/>
    <x v="0"/>
  </r>
  <r>
    <x v="2"/>
    <n v="6"/>
    <n v="6"/>
    <n v="1.5"/>
    <x v="2"/>
  </r>
  <r>
    <x v="3"/>
    <n v="6"/>
    <n v="2"/>
    <n v="0.5"/>
    <x v="0"/>
  </r>
  <r>
    <x v="3"/>
    <n v="6"/>
    <n v="1"/>
    <n v="0.25"/>
    <x v="0"/>
  </r>
  <r>
    <x v="3"/>
    <n v="6"/>
    <n v="9"/>
    <n v="2.25"/>
    <x v="0"/>
  </r>
  <r>
    <x v="3"/>
    <n v="6"/>
    <n v="3"/>
    <n v="0.75"/>
    <x v="0"/>
  </r>
  <r>
    <x v="3"/>
    <n v="6"/>
    <n v="6"/>
    <n v="1.5"/>
    <x v="0"/>
  </r>
  <r>
    <x v="3"/>
    <n v="6"/>
    <n v="2"/>
    <n v="0.5"/>
    <x v="0"/>
  </r>
  <r>
    <x v="3"/>
    <n v="6"/>
    <n v="3"/>
    <n v="0.75"/>
    <x v="0"/>
  </r>
  <r>
    <x v="4"/>
    <n v="6"/>
    <n v="6"/>
    <n v="1.5"/>
    <x v="0"/>
  </r>
  <r>
    <x v="5"/>
    <n v="7"/>
    <n v="9"/>
    <n v="2.25"/>
    <x v="0"/>
  </r>
  <r>
    <x v="6"/>
    <n v="7"/>
    <n v="6"/>
    <n v="1.5"/>
    <x v="2"/>
  </r>
  <r>
    <x v="7"/>
    <n v="7"/>
    <n v="15"/>
    <n v="3.75"/>
    <x v="0"/>
  </r>
  <r>
    <x v="7"/>
    <n v="7"/>
    <n v="9"/>
    <n v="2.25"/>
    <x v="0"/>
  </r>
  <r>
    <x v="8"/>
    <n v="7"/>
    <n v="9"/>
    <n v="2.25"/>
    <x v="3"/>
  </r>
  <r>
    <x v="9"/>
    <n v="9"/>
    <n v="9"/>
    <n v="2.25"/>
    <x v="0"/>
  </r>
  <r>
    <x v="10"/>
    <n v="9"/>
    <n v="6"/>
    <n v="1.5"/>
    <x v="2"/>
  </r>
  <r>
    <x v="10"/>
    <n v="9"/>
    <n v="12"/>
    <n v="3"/>
    <x v="3"/>
  </r>
  <r>
    <x v="10"/>
    <n v="9"/>
    <n v="6"/>
    <n v="1.5"/>
    <x v="0"/>
  </r>
  <r>
    <x v="10"/>
    <n v="9"/>
    <n v="6"/>
    <n v="1.5"/>
    <x v="2"/>
  </r>
  <r>
    <x v="11"/>
    <n v="9"/>
    <n v="3"/>
    <n v="0.75"/>
    <x v="3"/>
  </r>
  <r>
    <x v="11"/>
    <n v="9"/>
    <n v="2"/>
    <n v="0.5"/>
    <x v="0"/>
  </r>
  <r>
    <x v="11"/>
    <n v="9"/>
    <n v="3"/>
    <n v="0.75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F17" firstHeaderRow="1" firstDataRow="2" firstDataCol="1"/>
  <pivotFields count="5">
    <pivotField axis="axisRow" numFmtId="16" showAll="0">
      <items count="14">
        <item m="1" x="12"/>
        <item x="0"/>
        <item x="1"/>
        <item x="2"/>
        <item x="3"/>
        <item x="4"/>
        <item x="6"/>
        <item x="5"/>
        <item x="7"/>
        <item x="8"/>
        <item x="9"/>
        <item x="10"/>
        <item x="11"/>
        <item t="default"/>
      </items>
    </pivotField>
    <pivotField showAll="0"/>
    <pivotField numFmtId="1" showAll="0" defaultSubtotal="0"/>
    <pivotField dataField="1" showAll="0"/>
    <pivotField axis="axisCol" showAll="0">
      <items count="6">
        <item x="1"/>
        <item x="3"/>
        <item x="0"/>
        <item m="1" x="4"/>
        <item x="2"/>
        <item t="default"/>
      </items>
    </pivotField>
  </pivotFields>
  <rowFields count="1">
    <field x="0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4"/>
  </colFields>
  <colItems count="5">
    <i>
      <x/>
    </i>
    <i>
      <x v="1"/>
    </i>
    <i>
      <x v="2"/>
    </i>
    <i>
      <x v="4"/>
    </i>
    <i t="grand">
      <x/>
    </i>
  </colItems>
  <dataFields count="1">
    <dataField name="Somme de Temps [h]" fld="3" baseField="0" baseItem="0" numFmtId="2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/>
  <dimension ref="A1:J10"/>
  <sheetViews>
    <sheetView tabSelected="1" topLeftCell="B1" workbookViewId="0">
      <selection activeCell="G9" sqref="G9"/>
    </sheetView>
  </sheetViews>
  <sheetFormatPr baseColWidth="10" defaultColWidth="9.140625" defaultRowHeight="15" x14ac:dyDescent="0.25"/>
  <cols>
    <col min="1" max="1" width="28" style="18" customWidth="1"/>
    <col min="2" max="2" width="8.140625" style="15" bestFit="1" customWidth="1"/>
    <col min="3" max="3" width="13.7109375" style="23" customWidth="1"/>
    <col min="4" max="4" width="13.7109375" style="20" customWidth="1"/>
    <col min="5" max="5" width="16" style="6" customWidth="1"/>
    <col min="6" max="6" width="84.85546875" style="12" bestFit="1" customWidth="1"/>
    <col min="7" max="7" width="75.140625" style="12" customWidth="1"/>
    <col min="8" max="16384" width="9.140625" style="8"/>
  </cols>
  <sheetData>
    <row r="1" spans="1:10" ht="24" customHeight="1" x14ac:dyDescent="0.25">
      <c r="A1" s="16" t="s">
        <v>2</v>
      </c>
      <c r="B1" s="13" t="s">
        <v>12</v>
      </c>
      <c r="C1" s="21" t="s">
        <v>14</v>
      </c>
      <c r="D1" s="19" t="s">
        <v>3</v>
      </c>
      <c r="E1" s="5" t="s">
        <v>4</v>
      </c>
      <c r="F1" s="7" t="s">
        <v>0</v>
      </c>
      <c r="G1" s="7" t="s">
        <v>1</v>
      </c>
    </row>
    <row r="2" spans="1:10" x14ac:dyDescent="0.25">
      <c r="A2" s="17">
        <v>43220</v>
      </c>
      <c r="B2" s="14">
        <f t="shared" ref="B2" si="0">WEEKNUM(A2)</f>
        <v>18</v>
      </c>
      <c r="C2" s="22">
        <v>30</v>
      </c>
      <c r="D2" s="25">
        <f t="shared" ref="D2:D8" si="1">C2/60</f>
        <v>0.5</v>
      </c>
      <c r="E2" s="9" t="s">
        <v>6</v>
      </c>
      <c r="F2" s="10" t="s">
        <v>15</v>
      </c>
      <c r="G2" s="10"/>
      <c r="J2" s="11"/>
    </row>
    <row r="3" spans="1:10" x14ac:dyDescent="0.25">
      <c r="A3" s="17">
        <v>43220</v>
      </c>
      <c r="B3" s="14">
        <f t="shared" ref="B3" si="2">WEEKNUM(A3)</f>
        <v>18</v>
      </c>
      <c r="C3" s="22">
        <v>55</v>
      </c>
      <c r="D3" s="25">
        <f t="shared" si="1"/>
        <v>0.91666666666666663</v>
      </c>
      <c r="E3" s="9" t="s">
        <v>6</v>
      </c>
      <c r="F3" s="10" t="s">
        <v>16</v>
      </c>
      <c r="G3" s="10"/>
      <c r="J3" s="11"/>
    </row>
    <row r="4" spans="1:10" x14ac:dyDescent="0.25">
      <c r="A4" s="17">
        <v>43220</v>
      </c>
      <c r="B4" s="14">
        <f t="shared" ref="B4" si="3">WEEKNUM(A4)</f>
        <v>18</v>
      </c>
      <c r="C4" s="22">
        <v>45</v>
      </c>
      <c r="D4" s="25">
        <f t="shared" si="1"/>
        <v>0.75</v>
      </c>
      <c r="E4" s="9" t="s">
        <v>6</v>
      </c>
      <c r="F4" s="10" t="s">
        <v>17</v>
      </c>
      <c r="G4" s="10"/>
      <c r="J4" s="11"/>
    </row>
    <row r="5" spans="1:10" x14ac:dyDescent="0.25">
      <c r="A5" s="17">
        <v>43220</v>
      </c>
      <c r="B5" s="14">
        <f t="shared" ref="B5" si="4">WEEKNUM(A5)</f>
        <v>18</v>
      </c>
      <c r="C5" s="22">
        <v>45</v>
      </c>
      <c r="D5" s="25">
        <f t="shared" si="1"/>
        <v>0.75</v>
      </c>
      <c r="E5" s="9" t="s">
        <v>6</v>
      </c>
      <c r="F5" s="10" t="s">
        <v>18</v>
      </c>
      <c r="G5" s="10"/>
      <c r="J5" s="11"/>
    </row>
    <row r="6" spans="1:10" x14ac:dyDescent="0.25">
      <c r="A6" s="17">
        <v>43223</v>
      </c>
      <c r="B6" s="14">
        <f t="shared" ref="B6" si="5">WEEKNUM(A6)</f>
        <v>18</v>
      </c>
      <c r="C6" s="22">
        <v>30</v>
      </c>
      <c r="D6" s="25">
        <f t="shared" si="1"/>
        <v>0.5</v>
      </c>
      <c r="E6" s="9" t="s">
        <v>10</v>
      </c>
      <c r="F6" s="10" t="s">
        <v>20</v>
      </c>
      <c r="G6" s="10"/>
      <c r="J6" s="11"/>
    </row>
    <row r="7" spans="1:10" x14ac:dyDescent="0.25">
      <c r="A7" s="17">
        <v>43223</v>
      </c>
      <c r="B7" s="14">
        <f t="shared" ref="B7" si="6">WEEKNUM(A7)</f>
        <v>18</v>
      </c>
      <c r="C7" s="22">
        <v>60</v>
      </c>
      <c r="D7" s="25">
        <f t="shared" si="1"/>
        <v>1</v>
      </c>
      <c r="E7" s="9" t="s">
        <v>9</v>
      </c>
      <c r="F7" s="10" t="s">
        <v>19</v>
      </c>
      <c r="G7" s="10"/>
      <c r="J7" s="11"/>
    </row>
    <row r="8" spans="1:10" x14ac:dyDescent="0.25">
      <c r="A8" s="17">
        <v>43227</v>
      </c>
      <c r="B8" s="14">
        <f t="shared" ref="B8" si="7">WEEKNUM(A8)</f>
        <v>19</v>
      </c>
      <c r="C8" s="22">
        <v>135</v>
      </c>
      <c r="D8" s="25">
        <f t="shared" si="1"/>
        <v>2.25</v>
      </c>
      <c r="E8" s="9" t="s">
        <v>9</v>
      </c>
      <c r="F8" s="10" t="s">
        <v>21</v>
      </c>
      <c r="G8" s="10"/>
      <c r="J8" s="11"/>
    </row>
    <row r="9" spans="1:10" x14ac:dyDescent="0.25">
      <c r="A9" s="17">
        <v>43227</v>
      </c>
      <c r="B9" s="14">
        <f t="shared" ref="B9" si="8">WEEKNUM(A9)</f>
        <v>19</v>
      </c>
      <c r="C9" s="22">
        <v>120</v>
      </c>
      <c r="D9" s="25">
        <f t="shared" ref="D9" si="9">C9/60</f>
        <v>2</v>
      </c>
      <c r="E9" s="9" t="s">
        <v>9</v>
      </c>
      <c r="F9" s="10" t="s">
        <v>22</v>
      </c>
      <c r="G9" s="10"/>
      <c r="J9" s="11"/>
    </row>
    <row r="10" spans="1:10" x14ac:dyDescent="0.25">
      <c r="A10" s="17">
        <v>43233</v>
      </c>
      <c r="B10" s="14">
        <f t="shared" ref="B10" si="10">WEEKNUM(A10)</f>
        <v>20</v>
      </c>
      <c r="C10" s="22">
        <v>60</v>
      </c>
      <c r="D10" s="25">
        <f t="shared" ref="D10" si="11">C10/60</f>
        <v>1</v>
      </c>
      <c r="E10" s="9" t="s">
        <v>9</v>
      </c>
      <c r="F10" s="10" t="s">
        <v>23</v>
      </c>
      <c r="G10" s="10"/>
      <c r="J10" s="11"/>
    </row>
  </sheetData>
  <sheetProtection selectLockedCells="1"/>
  <sortState ref="A2:G35">
    <sortCondition descending="1" ref="A2:A35"/>
  </sortState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5</xdr:col>
                    <xdr:colOff>47625</xdr:colOff>
                    <xdr:row>0</xdr:row>
                    <xdr:rowOff>28575</xdr:rowOff>
                  </from>
                  <to>
                    <xdr:col>5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Paramètres!$A$2:$A$6</xm:f>
          </x14:formula1>
          <xm:sqref>E2:E10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A3:F17"/>
  <sheetViews>
    <sheetView workbookViewId="0">
      <selection activeCell="B10" sqref="B10"/>
    </sheetView>
  </sheetViews>
  <sheetFormatPr baseColWidth="10" defaultRowHeight="15" x14ac:dyDescent="0.25"/>
  <cols>
    <col min="1" max="1" width="17.140625" bestFit="1" customWidth="1"/>
    <col min="2" max="2" width="13" bestFit="1" customWidth="1"/>
    <col min="3" max="3" width="13.28515625" bestFit="1" customWidth="1"/>
    <col min="4" max="4" width="7" bestFit="1" customWidth="1"/>
    <col min="5" max="5" width="7.42578125" bestFit="1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6" x14ac:dyDescent="0.25">
      <c r="A3" s="3" t="s">
        <v>13</v>
      </c>
    </row>
    <row r="4" spans="1:6" x14ac:dyDescent="0.25">
      <c r="B4" t="s">
        <v>9</v>
      </c>
      <c r="C4" t="s">
        <v>7</v>
      </c>
      <c r="D4" t="s">
        <v>6</v>
      </c>
      <c r="E4" t="s">
        <v>10</v>
      </c>
      <c r="F4" t="s">
        <v>11</v>
      </c>
    </row>
    <row r="5" spans="1:6" x14ac:dyDescent="0.25">
      <c r="A5" s="4">
        <v>43132</v>
      </c>
      <c r="B5" s="24">
        <v>0.5</v>
      </c>
      <c r="C5" s="24"/>
      <c r="D5" s="24">
        <v>2.5</v>
      </c>
      <c r="E5" s="24"/>
      <c r="F5" s="24">
        <v>3</v>
      </c>
    </row>
    <row r="6" spans="1:6" x14ac:dyDescent="0.25">
      <c r="A6" s="4">
        <v>43133</v>
      </c>
      <c r="B6" s="24"/>
      <c r="C6" s="24"/>
      <c r="D6" s="24">
        <v>1.25</v>
      </c>
      <c r="E6" s="24"/>
      <c r="F6" s="24">
        <v>1.25</v>
      </c>
    </row>
    <row r="7" spans="1:6" x14ac:dyDescent="0.25">
      <c r="A7" s="4">
        <v>43137</v>
      </c>
      <c r="B7" s="24"/>
      <c r="C7" s="24"/>
      <c r="D7" s="24">
        <v>0.75</v>
      </c>
      <c r="E7" s="24">
        <v>1.5</v>
      </c>
      <c r="F7" s="24">
        <v>2.25</v>
      </c>
    </row>
    <row r="8" spans="1:6" x14ac:dyDescent="0.25">
      <c r="A8" s="4">
        <v>43139</v>
      </c>
      <c r="B8" s="24"/>
      <c r="C8" s="24"/>
      <c r="D8" s="24">
        <v>6.5</v>
      </c>
      <c r="E8" s="24"/>
      <c r="F8" s="24">
        <v>6.5</v>
      </c>
    </row>
    <row r="9" spans="1:6" x14ac:dyDescent="0.25">
      <c r="A9" s="4">
        <v>43140</v>
      </c>
      <c r="B9" s="24"/>
      <c r="C9" s="24"/>
      <c r="D9" s="24">
        <v>1.5</v>
      </c>
      <c r="E9" s="24"/>
      <c r="F9" s="24">
        <v>1.5</v>
      </c>
    </row>
    <row r="10" spans="1:6" x14ac:dyDescent="0.25">
      <c r="A10" s="4">
        <v>43144</v>
      </c>
      <c r="B10" s="24"/>
      <c r="C10" s="24"/>
      <c r="D10" s="24"/>
      <c r="E10" s="24">
        <v>1.5</v>
      </c>
      <c r="F10" s="24">
        <v>1.5</v>
      </c>
    </row>
    <row r="11" spans="1:6" x14ac:dyDescent="0.25">
      <c r="A11" s="4">
        <v>43143</v>
      </c>
      <c r="B11" s="24"/>
      <c r="C11" s="24"/>
      <c r="D11" s="24">
        <v>2.25</v>
      </c>
      <c r="E11" s="24"/>
      <c r="F11" s="24">
        <v>2.25</v>
      </c>
    </row>
    <row r="12" spans="1:6" x14ac:dyDescent="0.25">
      <c r="A12" s="4">
        <v>43146</v>
      </c>
      <c r="B12" s="24"/>
      <c r="C12" s="24"/>
      <c r="D12" s="24">
        <v>6</v>
      </c>
      <c r="E12" s="24"/>
      <c r="F12" s="24">
        <v>6</v>
      </c>
    </row>
    <row r="13" spans="1:6" x14ac:dyDescent="0.25">
      <c r="A13" s="4">
        <v>43147</v>
      </c>
      <c r="B13" s="24"/>
      <c r="C13" s="24">
        <v>2.25</v>
      </c>
      <c r="D13" s="24"/>
      <c r="E13" s="24"/>
      <c r="F13" s="24">
        <v>2.25</v>
      </c>
    </row>
    <row r="14" spans="1:6" x14ac:dyDescent="0.25">
      <c r="A14" s="4">
        <v>43158</v>
      </c>
      <c r="B14" s="24"/>
      <c r="C14" s="24"/>
      <c r="D14" s="24">
        <v>2.25</v>
      </c>
      <c r="E14" s="24"/>
      <c r="F14" s="24">
        <v>2.25</v>
      </c>
    </row>
    <row r="15" spans="1:6" x14ac:dyDescent="0.25">
      <c r="A15" s="4">
        <v>43160</v>
      </c>
      <c r="B15" s="24"/>
      <c r="C15" s="24">
        <v>3</v>
      </c>
      <c r="D15" s="24">
        <v>1.5</v>
      </c>
      <c r="E15" s="24">
        <v>3</v>
      </c>
      <c r="F15" s="24">
        <v>7.5</v>
      </c>
    </row>
    <row r="16" spans="1:6" x14ac:dyDescent="0.25">
      <c r="A16" s="4">
        <v>43161</v>
      </c>
      <c r="B16" s="24"/>
      <c r="C16" s="24">
        <v>0.75</v>
      </c>
      <c r="D16" s="24">
        <v>1.25</v>
      </c>
      <c r="E16" s="24"/>
      <c r="F16" s="24">
        <v>2</v>
      </c>
    </row>
    <row r="17" spans="1:6" x14ac:dyDescent="0.25">
      <c r="A17" s="4" t="s">
        <v>11</v>
      </c>
      <c r="B17" s="24">
        <v>0.5</v>
      </c>
      <c r="C17" s="24">
        <v>6</v>
      </c>
      <c r="D17" s="24">
        <v>25.75</v>
      </c>
      <c r="E17" s="24">
        <v>6</v>
      </c>
      <c r="F17" s="24">
        <v>38.25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6"/>
  <sheetViews>
    <sheetView workbookViewId="0">
      <selection activeCell="B18" sqref="B1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2018-05-13T09:31:58Z</dcterms:modified>
</cp:coreProperties>
</file>