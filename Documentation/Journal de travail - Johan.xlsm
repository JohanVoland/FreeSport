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0" i="1" l="1"/>
  <c r="D20" i="1"/>
  <c r="B19" i="1"/>
  <c r="D19" i="1"/>
  <c r="B18" i="1"/>
  <c r="D18" i="1"/>
  <c r="B17" i="1"/>
  <c r="D17" i="1"/>
  <c r="B16" i="1"/>
  <c r="D16" i="1"/>
  <c r="B15" i="1"/>
  <c r="D15" i="1"/>
  <c r="B10" i="1"/>
  <c r="D10" i="1"/>
  <c r="B14" i="1"/>
  <c r="D14" i="1"/>
  <c r="B13" i="1"/>
  <c r="D13" i="1"/>
  <c r="B12" i="1"/>
  <c r="D12" i="1"/>
  <c r="B11" i="1"/>
  <c r="D11" i="1"/>
  <c r="B9" i="1"/>
  <c r="D9" i="1"/>
  <c r="B8" i="1"/>
  <c r="D8" i="1"/>
  <c r="B7" i="1"/>
  <c r="D7" i="1"/>
  <c r="B6" i="1"/>
  <c r="D6" i="1"/>
  <c r="B5" i="1"/>
  <c r="D5" i="1"/>
  <c r="B4" i="1"/>
  <c r="D4" i="1"/>
  <c r="B3" i="1"/>
  <c r="D3" i="1"/>
  <c r="D2" i="1"/>
  <c r="B2" i="1"/>
</calcChain>
</file>

<file path=xl/sharedStrings.xml><?xml version="1.0" encoding="utf-8"?>
<sst xmlns="http://schemas.openxmlformats.org/spreadsheetml/2006/main" count="62" uniqueCount="36">
  <si>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</si>
  <si>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</si>
  <si>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</si>
  <si>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</si>
  <si>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</si>
  <si>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</si>
  <si>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</si>
  <si>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</si>
  <si>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</si>
  <si>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</si>
  <si>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</si>
  <si>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</si>
  <si>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</si>
  <si>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</si>
  <si>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[min]</t>
  </si>
  <si>
    <t>Présentation du module (objectifs, groupes, …)</t>
  </si>
  <si>
    <t>Sélection d'un template et création d'un répertoire sur GitHub</t>
  </si>
  <si>
    <t>Création du dossier de projet et d'une mini liste de choses à faire sur Trello</t>
  </si>
  <si>
    <t>Début  de création du dossier de projet Uses Cases, scénarios et de diverses petites actions</t>
  </si>
  <si>
    <t>Création des Uses Cases, début de création des scénarios et du MCD de la BDD</t>
  </si>
  <si>
    <t>Présentation des stages</t>
  </si>
  <si>
    <t>Création du MCD, MLD et la base de données</t>
  </si>
  <si>
    <t>Finition de la BDD et mise au point des MCD et MLD</t>
  </si>
  <si>
    <t>Mise à jour du dossier de projet</t>
  </si>
  <si>
    <t>Création du schéma de navigation et des scénarios, écritures des cas d'utilisations du dossier de projet</t>
  </si>
  <si>
    <t>il faut créer les wireframes pour les cas d'utilisation du dossier de projet</t>
  </si>
  <si>
    <t>Création des diagrammes de flux pour les différents scénarios</t>
  </si>
  <si>
    <t>les diagrammes de flux ne sont pas terminés et les anciens devront être modifiés</t>
  </si>
  <si>
    <t>congé</t>
  </si>
  <si>
    <t>Continuer les diagrammes de flux pour les différents scénarios</t>
  </si>
  <si>
    <t>Férier</t>
  </si>
  <si>
    <t>Vérifier les maquettes</t>
  </si>
  <si>
    <t>pas encore fini</t>
  </si>
  <si>
    <t>Mise à jours des diagrammes de flux</t>
  </si>
  <si>
    <t>Mettre à jours les diagrammes de flux</t>
  </si>
  <si>
    <t>Mise à jours de la base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</si>
</sst>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100C]dddd\,\ d\.\ mmmm\ yyyy;@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  <xf numFmtId="165" fontId="0" fillId="0" borderId="1" xfId="0" applyNumberFormat="1" applyBorder="1" applyAlignment="1" applyProtection="1">
      <alignment horizontal="center" vertical="center"/>
      <protection locked="0"/>
    </xf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-%20Joh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3.489257291665" createdVersion="4" refreshedVersion="4" minRefreshableVersion="3" recordCount="33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3T00:00:00" count="13">
        <d v="2018-02-01T00:00:00"/>
        <d v="2018-02-02T00:00:00"/>
        <d v="2018-02-06T00:00:00"/>
        <d v="2018-02-08T00:00:00"/>
        <d v="2018-02-09T00:00:00"/>
        <d v="2018-02-12T00:00:00"/>
        <d v="2018-02-13T00:00:00"/>
        <d v="2018-02-15T00:00:00"/>
        <d v="2018-02-16T00:00:00"/>
        <d v="2018-02-27T00:00:00"/>
        <d v="2018-03-01T00:00:00"/>
        <d v="2018-03-02T00:00:00"/>
        <d v="2018-01-01T00:00:00" u="1"/>
      </sharedItems>
    </cacheField>
    <cacheField name="Semaine" numFmtId="1">
      <sharedItems containsSemiMixedTypes="0" containsString="0" containsNumber="1" containsInteger="1" minValue="5" maxValue="9"/>
    </cacheField>
    <cacheField name="Temps [1/4h]" numFmtId="1">
      <sharedItems containsSemiMixedTypes="0" containsString="0" containsNumber="1" containsInteger="1" minValue="0" maxValue="15"/>
    </cacheField>
    <cacheField name="Temps [h]" numFmtId="2">
      <sharedItems containsSemiMixedTypes="0" containsString="0" containsNumber="1" minValue="0" maxValue="3.75"/>
    </cacheField>
    <cacheField name="Type" numFmtId="0">
      <sharedItems count="5">
        <s v="Analyse"/>
        <s v="Documentation"/>
        <s v="Absence"/>
        <s v="Implémentation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n v="5"/>
    <n v="0"/>
    <n v="0"/>
    <x v="0"/>
  </r>
  <r>
    <x v="0"/>
    <n v="5"/>
    <n v="1"/>
    <n v="0.25"/>
    <x v="1"/>
  </r>
  <r>
    <x v="0"/>
    <n v="5"/>
    <n v="8"/>
    <n v="2"/>
    <x v="0"/>
  </r>
  <r>
    <x v="0"/>
    <n v="5"/>
    <n v="1"/>
    <n v="0.25"/>
    <x v="1"/>
  </r>
  <r>
    <x v="0"/>
    <n v="5"/>
    <n v="1"/>
    <n v="0.25"/>
    <x v="0"/>
  </r>
  <r>
    <x v="0"/>
    <n v="5"/>
    <n v="1"/>
    <n v="0.25"/>
    <x v="0"/>
  </r>
  <r>
    <x v="1"/>
    <n v="5"/>
    <n v="2"/>
    <n v="0.5"/>
    <x v="0"/>
  </r>
  <r>
    <x v="1"/>
    <n v="5"/>
    <n v="3"/>
    <n v="0.75"/>
    <x v="0"/>
  </r>
  <r>
    <x v="2"/>
    <n v="6"/>
    <n v="1"/>
    <n v="0.25"/>
    <x v="0"/>
  </r>
  <r>
    <x v="2"/>
    <n v="6"/>
    <n v="1"/>
    <n v="0.25"/>
    <x v="0"/>
  </r>
  <r>
    <x v="2"/>
    <n v="6"/>
    <n v="1"/>
    <n v="0.25"/>
    <x v="0"/>
  </r>
  <r>
    <x v="2"/>
    <n v="6"/>
    <n v="6"/>
    <n v="1.5"/>
    <x v="2"/>
  </r>
  <r>
    <x v="3"/>
    <n v="6"/>
    <n v="2"/>
    <n v="0.5"/>
    <x v="0"/>
  </r>
  <r>
    <x v="3"/>
    <n v="6"/>
    <n v="1"/>
    <n v="0.25"/>
    <x v="0"/>
  </r>
  <r>
    <x v="3"/>
    <n v="6"/>
    <n v="9"/>
    <n v="2.25"/>
    <x v="0"/>
  </r>
  <r>
    <x v="3"/>
    <n v="6"/>
    <n v="3"/>
    <n v="0.75"/>
    <x v="0"/>
  </r>
  <r>
    <x v="3"/>
    <n v="6"/>
    <n v="6"/>
    <n v="1.5"/>
    <x v="0"/>
  </r>
  <r>
    <x v="3"/>
    <n v="6"/>
    <n v="2"/>
    <n v="0.5"/>
    <x v="0"/>
  </r>
  <r>
    <x v="3"/>
    <n v="6"/>
    <n v="3"/>
    <n v="0.75"/>
    <x v="0"/>
  </r>
  <r>
    <x v="4"/>
    <n v="6"/>
    <n v="6"/>
    <n v="1.5"/>
    <x v="0"/>
  </r>
  <r>
    <x v="5"/>
    <n v="7"/>
    <n v="9"/>
    <n v="2.25"/>
    <x v="0"/>
  </r>
  <r>
    <x v="6"/>
    <n v="7"/>
    <n v="6"/>
    <n v="1.5"/>
    <x v="2"/>
  </r>
  <r>
    <x v="7"/>
    <n v="7"/>
    <n v="15"/>
    <n v="3.75"/>
    <x v="0"/>
  </r>
  <r>
    <x v="7"/>
    <n v="7"/>
    <n v="9"/>
    <n v="2.25"/>
    <x v="0"/>
  </r>
  <r>
    <x v="8"/>
    <n v="7"/>
    <n v="9"/>
    <n v="2.25"/>
    <x v="3"/>
  </r>
  <r>
    <x v="9"/>
    <n v="9"/>
    <n v="9"/>
    <n v="2.25"/>
    <x v="0"/>
  </r>
  <r>
    <x v="10"/>
    <n v="9"/>
    <n v="6"/>
    <n v="1.5"/>
    <x v="2"/>
  </r>
  <r>
    <x v="10"/>
    <n v="9"/>
    <n v="12"/>
    <n v="3"/>
    <x v="3"/>
  </r>
  <r>
    <x v="10"/>
    <n v="9"/>
    <n v="6"/>
    <n v="1.5"/>
    <x v="0"/>
  </r>
  <r>
    <x v="10"/>
    <n v="9"/>
    <n v="6"/>
    <n v="1.5"/>
    <x v="2"/>
  </r>
  <r>
    <x v="11"/>
    <n v="9"/>
    <n v="3"/>
    <n v="0.75"/>
    <x v="3"/>
  </r>
  <r>
    <x v="11"/>
    <n v="9"/>
    <n v="2"/>
    <n v="0.5"/>
    <x v="0"/>
  </r>
  <r>
    <x v="11"/>
    <n v="9"/>
    <n v="3"/>
    <n v="0.7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F17" firstHeaderRow="1" firstDataRow="2" firstDataCol="1"/>
  <pivotFields count="5">
    <pivotField axis="axisRow" numFmtId="16" showAll="0">
      <items count="14">
        <item m="1" x="12"/>
        <item x="0"/>
        <item x="1"/>
        <item x="2"/>
        <item x="3"/>
        <item x="4"/>
        <item x="6"/>
        <item x="5"/>
        <item x="7"/>
        <item x="8"/>
        <item x="9"/>
        <item x="10"/>
        <item x="11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x="1"/>
        <item x="3"/>
        <item x="0"/>
        <item m="1" x="4"/>
        <item x="2"/>
        <item t="default"/>
      </items>
    </pivotField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0"/>
  <sheetViews>
    <sheetView tabSelected="1" workbookViewId="0">
      <selection activeCell="F20" sqref="F20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3" customWidth="1"/>
    <col min="4" max="4" width="13.7109375" style="20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1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43220</v>
      </c>
      <c r="B2" s="14">
        <f t="shared" ref="B2" si="0">WEEKNUM(A2)</f>
        <v>18</v>
      </c>
      <c r="C2" s="22">
        <v>30</v>
      </c>
      <c r="D2" s="25">
        <f t="shared" ref="D2:D8" si="1">C2/60</f>
        <v>0.5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43220</v>
      </c>
      <c r="B3" s="14">
        <f t="shared" ref="B3" si="2">WEEKNUM(A3)</f>
        <v>18</v>
      </c>
      <c r="C3" s="22">
        <v>55</v>
      </c>
      <c r="D3" s="25">
        <f t="shared" si="1"/>
        <v>0.91666666666666663</v>
      </c>
      <c r="E3" s="9" t="s">
        <v>6</v>
      </c>
      <c r="F3" s="10" t="s">
        <v>16</v>
      </c>
      <c r="G3" s="10"/>
      <c r="J3" s="11"/>
    </row>
    <row r="4" spans="1:10" x14ac:dyDescent="0.25">
      <c r="A4" s="17">
        <v>43220</v>
      </c>
      <c r="B4" s="14">
        <f t="shared" ref="B4" si="3">WEEKNUM(A4)</f>
        <v>18</v>
      </c>
      <c r="C4" s="22">
        <v>45</v>
      </c>
      <c r="D4" s="25">
        <f t="shared" si="1"/>
        <v>0.75</v>
      </c>
      <c r="E4" s="9" t="s">
        <v>6</v>
      </c>
      <c r="F4" s="10" t="s">
        <v>17</v>
      </c>
      <c r="G4" s="10"/>
      <c r="J4" s="11"/>
    </row>
    <row r="5" spans="1:10" x14ac:dyDescent="0.25">
      <c r="A5" s="17">
        <v>43220</v>
      </c>
      <c r="B5" s="14">
        <f t="shared" ref="B5" si="4">WEEKNUM(A5)</f>
        <v>18</v>
      </c>
      <c r="C5" s="22">
        <v>45</v>
      </c>
      <c r="D5" s="25">
        <f t="shared" si="1"/>
        <v>0.75</v>
      </c>
      <c r="E5" s="9" t="s">
        <v>6</v>
      </c>
      <c r="F5" s="10" t="s">
        <v>18</v>
      </c>
      <c r="G5" s="10"/>
      <c r="J5" s="11"/>
    </row>
    <row r="6" spans="1:10" x14ac:dyDescent="0.25">
      <c r="A6" s="17">
        <v>43223</v>
      </c>
      <c r="B6" s="14">
        <f t="shared" ref="B6" si="5">WEEKNUM(A6)</f>
        <v>18</v>
      </c>
      <c r="C6" s="22">
        <v>30</v>
      </c>
      <c r="D6" s="25">
        <f t="shared" si="1"/>
        <v>0.5</v>
      </c>
      <c r="E6" s="9" t="s">
        <v>10</v>
      </c>
      <c r="F6" s="10" t="s">
        <v>20</v>
      </c>
      <c r="G6" s="10"/>
      <c r="J6" s="11"/>
    </row>
    <row r="7" spans="1:10" x14ac:dyDescent="0.25">
      <c r="A7" s="17">
        <v>43223</v>
      </c>
      <c r="B7" s="14">
        <f t="shared" ref="B7" si="6">WEEKNUM(A7)</f>
        <v>18</v>
      </c>
      <c r="C7" s="22">
        <v>60</v>
      </c>
      <c r="D7" s="25">
        <f t="shared" si="1"/>
        <v>1</v>
      </c>
      <c r="E7" s="9" t="s">
        <v>9</v>
      </c>
      <c r="F7" s="10" t="s">
        <v>19</v>
      </c>
      <c r="G7" s="10"/>
      <c r="J7" s="11"/>
    </row>
    <row r="8" spans="1:10" x14ac:dyDescent="0.25">
      <c r="A8" s="17">
        <v>43227</v>
      </c>
      <c r="B8" s="14">
        <f t="shared" ref="B8" si="7">WEEKNUM(A8)</f>
        <v>19</v>
      </c>
      <c r="C8" s="22">
        <v>135</v>
      </c>
      <c r="D8" s="25">
        <f t="shared" si="1"/>
        <v>2.25</v>
      </c>
      <c r="E8" s="9" t="s">
        <v>9</v>
      </c>
      <c r="F8" s="10" t="s">
        <v>21</v>
      </c>
      <c r="G8" s="10"/>
      <c r="J8" s="11"/>
    </row>
    <row r="9" spans="1:10" x14ac:dyDescent="0.25">
      <c r="A9" s="17">
        <v>43227</v>
      </c>
      <c r="B9" s="14">
        <f t="shared" ref="B9" si="8">WEEKNUM(A9)</f>
        <v>19</v>
      </c>
      <c r="C9" s="22">
        <v>120</v>
      </c>
      <c r="D9" s="25">
        <f t="shared" ref="D9" si="9">C9/60</f>
        <v>2</v>
      </c>
      <c r="E9" s="9" t="s">
        <v>9</v>
      </c>
      <c r="F9" s="10" t="s">
        <v>22</v>
      </c>
      <c r="G9" s="10"/>
      <c r="J9" s="11"/>
    </row>
    <row r="10" spans="1:10" x14ac:dyDescent="0.25">
      <c r="A10" s="17">
        <v>43230</v>
      </c>
      <c r="B10" s="14">
        <f t="shared" ref="B10" si="10">WEEKNUM(A10)</f>
        <v>19</v>
      </c>
      <c r="C10" s="22">
        <v>120</v>
      </c>
      <c r="D10" s="25">
        <f t="shared" ref="D10" si="11">C10/60</f>
        <v>2</v>
      </c>
      <c r="E10" s="9" t="s">
        <v>10</v>
      </c>
      <c r="F10" s="10" t="s">
        <v>28</v>
      </c>
      <c r="G10" s="10"/>
      <c r="J10" s="11"/>
    </row>
    <row r="11" spans="1:10" x14ac:dyDescent="0.25">
      <c r="A11" s="17">
        <v>43233</v>
      </c>
      <c r="B11" s="14">
        <f t="shared" ref="B11" si="12">WEEKNUM(A11)</f>
        <v>20</v>
      </c>
      <c r="C11" s="22">
        <v>60</v>
      </c>
      <c r="D11" s="25">
        <f t="shared" ref="D11" si="13">C11/60</f>
        <v>1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43234</v>
      </c>
      <c r="B12" s="14">
        <f t="shared" ref="B12" si="14">WEEKNUM(A12)</f>
        <v>20</v>
      </c>
      <c r="C12" s="22">
        <v>45</v>
      </c>
      <c r="D12" s="25">
        <f t="shared" ref="D12" si="15">C12/60</f>
        <v>0.75</v>
      </c>
      <c r="E12" s="9" t="s">
        <v>9</v>
      </c>
      <c r="F12" s="10" t="s">
        <v>23</v>
      </c>
      <c r="G12" s="10"/>
      <c r="J12" s="11"/>
    </row>
    <row r="13" spans="1:10" ht="30" x14ac:dyDescent="0.25">
      <c r="A13" s="17">
        <v>43234</v>
      </c>
      <c r="B13" s="14">
        <f t="shared" ref="B13" si="16">WEEKNUM(A13)</f>
        <v>20</v>
      </c>
      <c r="C13" s="22">
        <v>120</v>
      </c>
      <c r="D13" s="25">
        <f t="shared" ref="D13" si="17">C13/60</f>
        <v>2</v>
      </c>
      <c r="E13" s="9" t="s">
        <v>9</v>
      </c>
      <c r="F13" s="10" t="s">
        <v>24</v>
      </c>
      <c r="G13" s="10" t="s">
        <v>25</v>
      </c>
      <c r="J13" s="11"/>
    </row>
    <row r="14" spans="1:10" x14ac:dyDescent="0.25">
      <c r="A14" s="17">
        <v>43234</v>
      </c>
      <c r="B14" s="14">
        <f t="shared" ref="B14" si="18">WEEKNUM(A14)</f>
        <v>20</v>
      </c>
      <c r="C14" s="22">
        <v>120</v>
      </c>
      <c r="D14" s="25">
        <f t="shared" ref="D14" si="19">C14/60</f>
        <v>2</v>
      </c>
      <c r="E14" s="9" t="s">
        <v>9</v>
      </c>
      <c r="F14" s="10" t="s">
        <v>26</v>
      </c>
      <c r="G14" s="10" t="s">
        <v>27</v>
      </c>
      <c r="J14" s="11"/>
    </row>
    <row r="15" spans="1:10" ht="15.75" customHeight="1" x14ac:dyDescent="0.25">
      <c r="A15" s="17">
        <v>43237</v>
      </c>
      <c r="B15" s="14">
        <f t="shared" ref="B15" si="20">WEEKNUM(A15)</f>
        <v>20</v>
      </c>
      <c r="C15" s="22">
        <v>120</v>
      </c>
      <c r="D15" s="25">
        <f t="shared" ref="D15" si="21">C15/60</f>
        <v>2</v>
      </c>
      <c r="E15" s="9" t="s">
        <v>9</v>
      </c>
      <c r="F15" s="10" t="s">
        <v>29</v>
      </c>
      <c r="G15" s="10" t="s">
        <v>27</v>
      </c>
      <c r="J15" s="11"/>
    </row>
    <row r="16" spans="1:10" ht="15.75" customHeight="1" x14ac:dyDescent="0.25">
      <c r="A16" s="17">
        <v>43241</v>
      </c>
      <c r="B16" s="14">
        <f t="shared" ref="B16" si="22">WEEKNUM(A16)</f>
        <v>21</v>
      </c>
      <c r="C16" s="22">
        <v>155</v>
      </c>
      <c r="D16" s="25">
        <f t="shared" ref="D16" si="23">C16/60</f>
        <v>2.5833333333333335</v>
      </c>
      <c r="E16" s="9" t="s">
        <v>10</v>
      </c>
      <c r="F16" s="10" t="s">
        <v>30</v>
      </c>
      <c r="G16" s="10"/>
      <c r="J16" s="11"/>
    </row>
    <row r="17" spans="1:10" ht="15.75" customHeight="1" x14ac:dyDescent="0.25">
      <c r="A17" s="17">
        <v>43244</v>
      </c>
      <c r="B17" s="14">
        <f t="shared" ref="B17" si="24">WEEKNUM(A17)</f>
        <v>21</v>
      </c>
      <c r="C17" s="22">
        <v>45</v>
      </c>
      <c r="D17" s="25">
        <f t="shared" ref="D17" si="25">C17/60</f>
        <v>0.75</v>
      </c>
      <c r="E17" s="9" t="s">
        <v>9</v>
      </c>
      <c r="F17" s="10" t="s">
        <v>31</v>
      </c>
      <c r="G17" s="10"/>
      <c r="J17" s="11"/>
    </row>
    <row r="18" spans="1:10" ht="15.75" customHeight="1" x14ac:dyDescent="0.25">
      <c r="A18" s="17">
        <v>43244</v>
      </c>
      <c r="B18" s="14">
        <f t="shared" ref="B18" si="26">WEEKNUM(A18)</f>
        <v>21</v>
      </c>
      <c r="C18" s="22">
        <v>45</v>
      </c>
      <c r="D18" s="25">
        <f t="shared" ref="D18" si="27">C18/60</f>
        <v>0.75</v>
      </c>
      <c r="E18" s="9" t="s">
        <v>9</v>
      </c>
      <c r="F18" s="10" t="s">
        <v>34</v>
      </c>
      <c r="G18" s="10" t="s">
        <v>32</v>
      </c>
      <c r="J18" s="11"/>
    </row>
    <row r="19" spans="1:10" ht="15.75" customHeight="1" x14ac:dyDescent="0.25">
      <c r="A19" s="17">
        <v>43248</v>
      </c>
      <c r="B19" s="14">
        <f t="shared" ref="B19" si="28">WEEKNUM(A19)</f>
        <v>22</v>
      </c>
      <c r="C19" s="22">
        <v>120</v>
      </c>
      <c r="D19" s="25">
        <f t="shared" ref="D19" si="29">C19/60</f>
        <v>2</v>
      </c>
      <c r="E19" s="9" t="s">
        <v>9</v>
      </c>
      <c r="F19" s="10" t="s">
        <v>33</v>
      </c>
      <c r="G19" s="10"/>
      <c r="J19" s="11"/>
    </row>
    <row r="20" spans="1:10" ht="15.75" customHeight="1" x14ac:dyDescent="0.25">
      <c r="A20" s="17">
        <v>43248</v>
      </c>
      <c r="B20" s="14">
        <f t="shared" ref="B20" si="30">WEEKNUM(A20)</f>
        <v>22</v>
      </c>
      <c r="C20" s="22">
        <v>45</v>
      </c>
      <c r="D20" s="25">
        <f t="shared" ref="D20" si="31">C20/60</f>
        <v>0.75</v>
      </c>
      <c r="E20" s="9" t="s">
        <v>9</v>
      </c>
      <c r="F20" s="10" t="s">
        <v>35</v>
      </c>
      <c r="G20" s="10"/>
      <c r="J20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17"/>
  <sheetViews>
    <sheetView workbookViewId="0">
      <selection activeCell="B10" sqref="B10"/>
    </sheetView>
  </sheetViews>
  <sheetFormatPr baseColWidth="10" defaultRowHeight="15" x14ac:dyDescent="0.25"/>
  <cols>
    <col min="1" max="1" width="17.140625" bestFit="1" customWidth="1"/>
    <col min="2" max="2" width="13" bestFit="1" customWidth="1"/>
    <col min="3" max="3" width="13.28515625" bestFit="1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3" t="s">
        <v>13</v>
      </c>
    </row>
    <row r="4" spans="1:6" x14ac:dyDescent="0.25">
      <c r="B4" t="s">
        <v>9</v>
      </c>
      <c r="C4" t="s">
        <v>7</v>
      </c>
      <c r="D4" t="s">
        <v>6</v>
      </c>
      <c r="E4" t="s">
        <v>10</v>
      </c>
      <c r="F4" t="s">
        <v>11</v>
      </c>
    </row>
    <row r="5" spans="1:6" x14ac:dyDescent="0.25">
      <c r="A5" s="4">
        <v>43132</v>
      </c>
      <c r="B5" s="24">
        <v>0.5</v>
      </c>
      <c r="C5" s="24"/>
      <c r="D5" s="24">
        <v>2.5</v>
      </c>
      <c r="E5" s="24"/>
      <c r="F5" s="24">
        <v>3</v>
      </c>
    </row>
    <row r="6" spans="1:6" x14ac:dyDescent="0.25">
      <c r="A6" s="4">
        <v>43133</v>
      </c>
      <c r="B6" s="24"/>
      <c r="C6" s="24"/>
      <c r="D6" s="24">
        <v>1.25</v>
      </c>
      <c r="E6" s="24"/>
      <c r="F6" s="24">
        <v>1.25</v>
      </c>
    </row>
    <row r="7" spans="1:6" x14ac:dyDescent="0.25">
      <c r="A7" s="4">
        <v>43137</v>
      </c>
      <c r="B7" s="24"/>
      <c r="C7" s="24"/>
      <c r="D7" s="24">
        <v>0.75</v>
      </c>
      <c r="E7" s="24">
        <v>1.5</v>
      </c>
      <c r="F7" s="24">
        <v>2.25</v>
      </c>
    </row>
    <row r="8" spans="1:6" x14ac:dyDescent="0.25">
      <c r="A8" s="4">
        <v>43139</v>
      </c>
      <c r="B8" s="24"/>
      <c r="C8" s="24"/>
      <c r="D8" s="24">
        <v>6.5</v>
      </c>
      <c r="E8" s="24"/>
      <c r="F8" s="24">
        <v>6.5</v>
      </c>
    </row>
    <row r="9" spans="1:6" x14ac:dyDescent="0.25">
      <c r="A9" s="4">
        <v>43140</v>
      </c>
      <c r="B9" s="24"/>
      <c r="C9" s="24"/>
      <c r="D9" s="24">
        <v>1.5</v>
      </c>
      <c r="E9" s="24"/>
      <c r="F9" s="24">
        <v>1.5</v>
      </c>
    </row>
    <row r="10" spans="1:6" x14ac:dyDescent="0.25">
      <c r="A10" s="4">
        <v>43144</v>
      </c>
      <c r="B10" s="24"/>
      <c r="C10" s="24"/>
      <c r="D10" s="24"/>
      <c r="E10" s="24">
        <v>1.5</v>
      </c>
      <c r="F10" s="24">
        <v>1.5</v>
      </c>
    </row>
    <row r="11" spans="1:6" x14ac:dyDescent="0.25">
      <c r="A11" s="4">
        <v>43143</v>
      </c>
      <c r="B11" s="24"/>
      <c r="C11" s="24"/>
      <c r="D11" s="24">
        <v>2.25</v>
      </c>
      <c r="E11" s="24"/>
      <c r="F11" s="24">
        <v>2.25</v>
      </c>
    </row>
    <row r="12" spans="1:6" x14ac:dyDescent="0.25">
      <c r="A12" s="4">
        <v>43146</v>
      </c>
      <c r="B12" s="24"/>
      <c r="C12" s="24"/>
      <c r="D12" s="24">
        <v>6</v>
      </c>
      <c r="E12" s="24"/>
      <c r="F12" s="24">
        <v>6</v>
      </c>
    </row>
    <row r="13" spans="1:6" x14ac:dyDescent="0.25">
      <c r="A13" s="4">
        <v>43147</v>
      </c>
      <c r="B13" s="24"/>
      <c r="C13" s="24">
        <v>2.25</v>
      </c>
      <c r="D13" s="24"/>
      <c r="E13" s="24"/>
      <c r="F13" s="24">
        <v>2.25</v>
      </c>
    </row>
    <row r="14" spans="1:6" x14ac:dyDescent="0.25">
      <c r="A14" s="4">
        <v>43158</v>
      </c>
      <c r="B14" s="24"/>
      <c r="C14" s="24"/>
      <c r="D14" s="24">
        <v>2.25</v>
      </c>
      <c r="E14" s="24"/>
      <c r="F14" s="24">
        <v>2.25</v>
      </c>
    </row>
    <row r="15" spans="1:6" x14ac:dyDescent="0.25">
      <c r="A15" s="4">
        <v>43160</v>
      </c>
      <c r="B15" s="24"/>
      <c r="C15" s="24">
        <v>3</v>
      </c>
      <c r="D15" s="24">
        <v>1.5</v>
      </c>
      <c r="E15" s="24">
        <v>3</v>
      </c>
      <c r="F15" s="24">
        <v>7.5</v>
      </c>
    </row>
    <row r="16" spans="1:6" x14ac:dyDescent="0.25">
      <c r="A16" s="4">
        <v>43161</v>
      </c>
      <c r="B16" s="24"/>
      <c r="C16" s="24">
        <v>0.75</v>
      </c>
      <c r="D16" s="24">
        <v>1.25</v>
      </c>
      <c r="E16" s="24"/>
      <c r="F16" s="24">
        <v>2</v>
      </c>
    </row>
    <row r="17" spans="1:6" x14ac:dyDescent="0.25">
      <c r="A17" s="4" t="s">
        <v>11</v>
      </c>
      <c r="B17" s="24">
        <v>0.5</v>
      </c>
      <c r="C17" s="24">
        <v>6</v>
      </c>
      <c r="D17" s="24">
        <v>25.75</v>
      </c>
      <c r="E17" s="24">
        <v>6</v>
      </c>
      <c r="F17" s="24">
        <v>38.25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2018-05-28T08:27:44Z</dcterms:modified>
</cp:coreProperties>
</file>