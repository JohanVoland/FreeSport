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4" i="1" l="1"/>
  <c r="D24" i="1"/>
  <c r="B23" i="1"/>
  <c r="D23" i="1"/>
  <c r="B22" i="1"/>
  <c r="D22" i="1"/>
  <c r="B21" i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0" i="1"/>
  <c r="D10" i="1"/>
  <c r="B14" i="1"/>
  <c r="D14" i="1"/>
  <c r="B13" i="1"/>
  <c r="D13" i="1"/>
  <c r="B12" i="1"/>
  <c r="D12" i="1"/>
  <c r="B11" i="1"/>
  <c r="D11" i="1"/>
  <c r="B9" i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<sst xmlns="http://schemas.openxmlformats.org/spreadsheetml/2006/main" count="72" uniqueCount="41">
  <si>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</si>
  <si>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</si>
  <si>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</si>
  <si>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</si>
  <si>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</si>
  <si>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</si>
  <si>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</si>
  <si>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</si>
  <si>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</si>
  <si>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</si>
  <si>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</si>
  <si>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</si>
  <si>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</si>
  <si>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</si>
  <si>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</si>
  <si>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</si>
  <si>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</si>
  <si>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</si>
  <si>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</si>
  <si>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</si>
  <si>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</si>
  <si>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</si>
  <si>
    <t>Finition de la BDD et mise au point des MCD et MLD</t>
  </si>
  <si>
    <t>Mise à jour du dossier de projet</t>
  </si>
  <si>
    <t>Création du schéma de navigation et des scénarios, écritures des cas d'utilisations du dossier de projet</t>
  </si>
  <si>
    <t>il faut créer les wireframes pour les cas d'utilisation du dossier de projet</t>
  </si>
  <si>
    <t>Création des diagrammes de flux pour les différents scénarios</t>
  </si>
  <si>
    <t>les diagrammes de flux ne sont pas terminés et les anciens devront être modifiés</t>
  </si>
  <si>
    <t>congé</t>
  </si>
  <si>
    <t>Continuer les diagrammes de flux pour les différents scénarios</t>
  </si>
  <si>
    <t>Férier</t>
  </si>
  <si>
    <t>Vérifier les maquettes</t>
  </si>
  <si>
    <t>pas encore fini</t>
  </si>
  <si>
    <t>Mise à jours des diagrammes de flux</t>
  </si>
  <si>
    <t>Mettre à jours les diagrammes de flux</t>
  </si>
  <si>
    <t>Mise à jours de la base de données</t>
  </si>
  <si>
    <t>Programmation de l'ajout et de l'affichage des appartements</t>
  </si>
  <si>
    <t>Programmation de l'affichage et des filtres</t>
  </si>
  <si>
    <t>Affichage est fini mais pas les filtres</t>
  </si>
  <si>
    <t>Création de la suppression, modification et des filtres</t>
  </si>
  <si>
    <t>Création de l'upload d'images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</si>
</sst>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4"/>
  <sheetViews>
    <sheetView tabSelected="1" workbookViewId="0">
      <selection activeCell="C26" sqref="C26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ref="B9" si="8">WEEKNUM(A9)</f>
        <v>19</v>
      </c>
      <c r="C9" s="22">
        <v>120</v>
      </c>
      <c r="D9" s="25">
        <f t="shared" ref="D9" si="9">C9/60</f>
        <v>2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43230</v>
      </c>
      <c r="B10" s="14">
        <f t="shared" ref="B10" si="10">WEEKNUM(A10)</f>
        <v>19</v>
      </c>
      <c r="C10" s="22">
        <v>120</v>
      </c>
      <c r="D10" s="25">
        <f t="shared" ref="D10" si="11">C10/60</f>
        <v>2</v>
      </c>
      <c r="E10" s="9" t="s">
        <v>10</v>
      </c>
      <c r="F10" s="10" t="s">
        <v>28</v>
      </c>
      <c r="G10" s="10"/>
      <c r="J10" s="11"/>
    </row>
    <row r="11" spans="1:10" x14ac:dyDescent="0.25">
      <c r="A11" s="17">
        <v>43233</v>
      </c>
      <c r="B11" s="14">
        <f t="shared" ref="B11" si="12">WEEKNUM(A11)</f>
        <v>20</v>
      </c>
      <c r="C11" s="22">
        <v>60</v>
      </c>
      <c r="D11" s="25">
        <f t="shared" ref="D11" si="13">C11/60</f>
        <v>1</v>
      </c>
      <c r="E11" s="9" t="s">
        <v>9</v>
      </c>
      <c r="F11" s="10" t="s">
        <v>23</v>
      </c>
      <c r="G11" s="10"/>
      <c r="J11" s="11"/>
    </row>
    <row r="12" spans="1:10" x14ac:dyDescent="0.25">
      <c r="A12" s="17">
        <v>43234</v>
      </c>
      <c r="B12" s="14">
        <f t="shared" ref="B12" si="14">WEEKNUM(A12)</f>
        <v>20</v>
      </c>
      <c r="C12" s="22">
        <v>45</v>
      </c>
      <c r="D12" s="25">
        <f t="shared" ref="D12" si="15">C12/60</f>
        <v>0.75</v>
      </c>
      <c r="E12" s="9" t="s">
        <v>9</v>
      </c>
      <c r="F12" s="10" t="s">
        <v>23</v>
      </c>
      <c r="G12" s="10"/>
      <c r="J12" s="11"/>
    </row>
    <row r="13" spans="1:10" ht="30" x14ac:dyDescent="0.25">
      <c r="A13" s="17">
        <v>43234</v>
      </c>
      <c r="B13" s="14">
        <f t="shared" ref="B13" si="16">WEEKNUM(A13)</f>
        <v>20</v>
      </c>
      <c r="C13" s="22">
        <v>120</v>
      </c>
      <c r="D13" s="25">
        <f t="shared" ref="D13" si="17">C13/60</f>
        <v>2</v>
      </c>
      <c r="E13" s="9" t="s">
        <v>9</v>
      </c>
      <c r="F13" s="10" t="s">
        <v>24</v>
      </c>
      <c r="G13" s="10" t="s">
        <v>25</v>
      </c>
      <c r="J13" s="11"/>
    </row>
    <row r="14" spans="1:10" x14ac:dyDescent="0.25">
      <c r="A14" s="17">
        <v>43234</v>
      </c>
      <c r="B14" s="14">
        <f t="shared" ref="B14" si="18">WEEKNUM(A14)</f>
        <v>20</v>
      </c>
      <c r="C14" s="22">
        <v>120</v>
      </c>
      <c r="D14" s="25">
        <f t="shared" ref="D14" si="19">C14/60</f>
        <v>2</v>
      </c>
      <c r="E14" s="9" t="s">
        <v>9</v>
      </c>
      <c r="F14" s="10" t="s">
        <v>26</v>
      </c>
      <c r="G14" s="10" t="s">
        <v>27</v>
      </c>
      <c r="J14" s="11"/>
    </row>
    <row r="15" spans="1:10" ht="15.75" customHeight="1" x14ac:dyDescent="0.25">
      <c r="A15" s="17">
        <v>43237</v>
      </c>
      <c r="B15" s="14">
        <f t="shared" ref="B15" si="20">WEEKNUM(A15)</f>
        <v>20</v>
      </c>
      <c r="C15" s="22">
        <v>120</v>
      </c>
      <c r="D15" s="25">
        <f t="shared" ref="D15" si="21">C15/60</f>
        <v>2</v>
      </c>
      <c r="E15" s="9" t="s">
        <v>9</v>
      </c>
      <c r="F15" s="10" t="s">
        <v>29</v>
      </c>
      <c r="G15" s="10" t="s">
        <v>27</v>
      </c>
      <c r="J15" s="11"/>
    </row>
    <row r="16" spans="1:10" ht="15.75" customHeight="1" x14ac:dyDescent="0.25">
      <c r="A16" s="17">
        <v>43241</v>
      </c>
      <c r="B16" s="14">
        <f t="shared" ref="B16" si="22">WEEKNUM(A16)</f>
        <v>21</v>
      </c>
      <c r="C16" s="22">
        <v>155</v>
      </c>
      <c r="D16" s="25">
        <f t="shared" ref="D16" si="23">C16/60</f>
        <v>2.5833333333333335</v>
      </c>
      <c r="E16" s="9" t="s">
        <v>10</v>
      </c>
      <c r="F16" s="10" t="s">
        <v>30</v>
      </c>
      <c r="G16" s="10"/>
      <c r="J16" s="11"/>
    </row>
    <row r="17" spans="1:10" ht="15.75" customHeight="1" x14ac:dyDescent="0.25">
      <c r="A17" s="17">
        <v>43244</v>
      </c>
      <c r="B17" s="14">
        <f t="shared" ref="B17" si="24">WEEKNUM(A17)</f>
        <v>21</v>
      </c>
      <c r="C17" s="22">
        <v>45</v>
      </c>
      <c r="D17" s="25">
        <f t="shared" ref="D17" si="25">C17/60</f>
        <v>0.75</v>
      </c>
      <c r="E17" s="9" t="s">
        <v>9</v>
      </c>
      <c r="F17" s="10" t="s">
        <v>31</v>
      </c>
      <c r="G17" s="10"/>
      <c r="J17" s="11"/>
    </row>
    <row r="18" spans="1:10" ht="15.75" customHeight="1" x14ac:dyDescent="0.25">
      <c r="A18" s="17">
        <v>43244</v>
      </c>
      <c r="B18" s="14">
        <f t="shared" ref="B18" si="26">WEEKNUM(A18)</f>
        <v>21</v>
      </c>
      <c r="C18" s="22">
        <v>45</v>
      </c>
      <c r="D18" s="25">
        <f t="shared" ref="D18" si="27">C18/60</f>
        <v>0.75</v>
      </c>
      <c r="E18" s="9" t="s">
        <v>9</v>
      </c>
      <c r="F18" s="10" t="s">
        <v>34</v>
      </c>
      <c r="G18" s="10" t="s">
        <v>32</v>
      </c>
      <c r="J18" s="11"/>
    </row>
    <row r="19" spans="1:10" ht="15.75" customHeight="1" x14ac:dyDescent="0.25">
      <c r="A19" s="17">
        <v>43248</v>
      </c>
      <c r="B19" s="14">
        <f t="shared" ref="B19" si="28">WEEKNUM(A19)</f>
        <v>22</v>
      </c>
      <c r="C19" s="22">
        <v>120</v>
      </c>
      <c r="D19" s="25">
        <f t="shared" ref="D19" si="29">C19/60</f>
        <v>2</v>
      </c>
      <c r="E19" s="9" t="s">
        <v>9</v>
      </c>
      <c r="F19" s="10" t="s">
        <v>33</v>
      </c>
      <c r="G19" s="10"/>
      <c r="J19" s="11"/>
    </row>
    <row r="20" spans="1:10" ht="15.75" customHeight="1" x14ac:dyDescent="0.25">
      <c r="A20" s="17">
        <v>43248</v>
      </c>
      <c r="B20" s="14">
        <f t="shared" ref="B20" si="30">WEEKNUM(A20)</f>
        <v>22</v>
      </c>
      <c r="C20" s="22">
        <v>45</v>
      </c>
      <c r="D20" s="25">
        <f t="shared" ref="D20" si="31">C20/60</f>
        <v>0.75</v>
      </c>
      <c r="E20" s="9" t="s">
        <v>9</v>
      </c>
      <c r="F20" s="10" t="s">
        <v>35</v>
      </c>
      <c r="G20" s="10"/>
      <c r="J20" s="11"/>
    </row>
    <row r="21" spans="1:10" ht="15.75" customHeight="1" x14ac:dyDescent="0.25">
      <c r="A21" s="17">
        <v>43248</v>
      </c>
      <c r="B21" s="14">
        <f t="shared" ref="B21" si="32">WEEKNUM(A21)</f>
        <v>22</v>
      </c>
      <c r="C21" s="22">
        <v>120</v>
      </c>
      <c r="D21" s="25">
        <f t="shared" ref="D21" si="33">C21/60</f>
        <v>2</v>
      </c>
      <c r="E21" s="9" t="s">
        <v>7</v>
      </c>
      <c r="F21" s="10" t="s">
        <v>36</v>
      </c>
      <c r="G21" s="10"/>
      <c r="J21" s="11"/>
    </row>
    <row r="22" spans="1:10" ht="15.75" customHeight="1" x14ac:dyDescent="0.25">
      <c r="A22" s="17">
        <v>43251</v>
      </c>
      <c r="B22" s="14">
        <f t="shared" ref="B22" si="34">WEEKNUM(A22)</f>
        <v>22</v>
      </c>
      <c r="C22" s="22">
        <v>120</v>
      </c>
      <c r="D22" s="25">
        <f t="shared" ref="D22" si="35">C22/60</f>
        <v>2</v>
      </c>
      <c r="E22" s="9" t="s">
        <v>7</v>
      </c>
      <c r="F22" s="10" t="s">
        <v>37</v>
      </c>
      <c r="G22" s="10" t="s">
        <v>38</v>
      </c>
      <c r="J22" s="11"/>
    </row>
    <row r="23" spans="1:10" ht="15.75" customHeight="1" x14ac:dyDescent="0.25">
      <c r="A23" s="17">
        <v>43255</v>
      </c>
      <c r="B23" s="14">
        <f t="shared" ref="B23" si="36">WEEKNUM(A23)</f>
        <v>23</v>
      </c>
      <c r="C23" s="22">
        <v>225</v>
      </c>
      <c r="D23" s="25">
        <f t="shared" ref="D23" si="37">C23/60</f>
        <v>3.75</v>
      </c>
      <c r="E23" s="9" t="s">
        <v>7</v>
      </c>
      <c r="F23" s="10" t="s">
        <v>39</v>
      </c>
      <c r="G23" s="10"/>
      <c r="J23" s="11"/>
    </row>
    <row r="24" spans="1:10" ht="15.75" customHeight="1" x14ac:dyDescent="0.25">
      <c r="A24" s="17">
        <v>43258</v>
      </c>
      <c r="B24" s="14">
        <f t="shared" ref="B24" si="38">WEEKNUM(A24)</f>
        <v>23</v>
      </c>
      <c r="C24" s="22">
        <v>120</v>
      </c>
      <c r="D24" s="25">
        <f t="shared" ref="D24" si="39">C24/60</f>
        <v>2</v>
      </c>
      <c r="E24" s="9" t="s">
        <v>7</v>
      </c>
      <c r="F24" s="10" t="s">
        <v>40</v>
      </c>
      <c r="G24" s="10" t="s">
        <v>32</v>
      </c>
      <c r="J24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2018-06-07T07:49:54Z</dcterms:modified>
</cp:coreProperties>
</file>